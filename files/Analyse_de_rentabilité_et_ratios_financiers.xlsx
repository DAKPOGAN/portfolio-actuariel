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D856F6DA-5D57-3143-AF4D-1D447A7C672B}" xr6:coauthVersionLast="47" xr6:coauthVersionMax="47" xr10:uidLastSave="{00000000-0000-0000-0000-000000000000}"/>
  <bookViews>
    <workbookView xWindow="580" yWindow="500" windowWidth="33600" windowHeight="19420" xr2:uid="{00000000-000D-0000-FFFF-FFFF00000000}"/>
  </bookViews>
  <sheets>
    <sheet name="Exercic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5" i="1" l="1"/>
  <c r="C106" i="1" s="1"/>
  <c r="C104" i="1"/>
  <c r="C107" i="1" s="1"/>
  <c r="C103" i="1"/>
  <c r="C102" i="1"/>
  <c r="C101" i="1"/>
  <c r="C100" i="1"/>
  <c r="C99" i="1"/>
  <c r="C98" i="1"/>
  <c r="C97" i="1"/>
  <c r="C88" i="1"/>
  <c r="C87" i="1"/>
  <c r="C77" i="1"/>
  <c r="C59" i="1"/>
  <c r="C51" i="1"/>
  <c r="D59" i="1" s="1"/>
  <c r="C108" i="1" l="1"/>
  <c r="C89" i="1"/>
  <c r="C92" i="1"/>
  <c r="C52" i="1"/>
  <c r="C93" i="1"/>
  <c r="C78" i="1"/>
  <c r="F60" i="1" l="1"/>
  <c r="F59" i="1"/>
  <c r="F62" i="1"/>
  <c r="E59" i="1"/>
  <c r="G59" i="1" s="1"/>
  <c r="C60" i="1" s="1"/>
  <c r="F63" i="1"/>
  <c r="F61" i="1"/>
  <c r="D60" i="1" l="1"/>
  <c r="E60" i="1" s="1"/>
  <c r="G60" i="1" s="1"/>
  <c r="C61" i="1" s="1"/>
  <c r="D61" i="1" l="1"/>
  <c r="E61" i="1" s="1"/>
  <c r="G61" i="1"/>
  <c r="C62" i="1" s="1"/>
  <c r="D62" i="1" l="1"/>
  <c r="E62" i="1" s="1"/>
  <c r="G62" i="1"/>
  <c r="C63" i="1" s="1"/>
  <c r="D63" i="1" l="1"/>
  <c r="E63" i="1" s="1"/>
  <c r="G63" i="1" s="1"/>
</calcChain>
</file>

<file path=xl/sharedStrings.xml><?xml version="1.0" encoding="utf-8"?>
<sst xmlns="http://schemas.openxmlformats.org/spreadsheetml/2006/main" count="109" uniqueCount="88">
  <si>
    <t>Analyse de rentabilité et ratios financiers</t>
  </si>
  <si>
    <t>Contexte</t>
  </si>
  <si>
    <t>•</t>
  </si>
  <si>
    <t>Madame Carey est à la tête de l’entreprise Pôle Nord.</t>
  </si>
  <si>
    <t>Elle souhaite la développer en investissant dans divers projets.</t>
  </si>
  <si>
    <t>Pour ce faire, elle a établi un business plan à l’aide de la direction stratégique de l’entreprise.</t>
  </si>
  <si>
    <t>Le premier projet sera lancé en 2012.</t>
  </si>
  <si>
    <t>Le deuxième projet sera lancé une fois le premier totalement remboursé, soit en 2017.</t>
  </si>
  <si>
    <t>Le troisième projet sera lancé en 2021.</t>
  </si>
  <si>
    <t>Énoncé</t>
  </si>
  <si>
    <t>1.</t>
  </si>
  <si>
    <t>Rappelez les différents modes de financement d’un projet et leurs caractéristiques.</t>
  </si>
  <si>
    <t>2.</t>
  </si>
  <si>
    <t>Premier projet : Le premier projet est financé par emprunt auprès de la banque pour un montant de 150 000 € à un taux trimestriel de 5,30 % pour une durée de 5 ans. Le remboursement se fera par annuités constantes (périodicité annuelle).
Après avoir rappelé de quel mode de financement il s’agit et ses caractéristiques, vous dresserez le tableau d’amortissement en détaillant vos calculs et en calculant le taux équivalent annuel.</t>
  </si>
  <si>
    <t>3.</t>
  </si>
  <si>
    <t>Cinq ans après avoir remboursé la banque, Mme Carey décide de financer son deuxième projet via un appel d’offre. De quel type de financement s’agit-il ?</t>
  </si>
  <si>
    <t>4.</t>
  </si>
  <si>
    <t>Deuxième projet : Le projet coûte 230 000 € et, selon le business plan, il devrait rapporter :
• 43 000 € la première année
• 69 000 € la deuxième année
• 84 000 € la troisième année
• 78 000 € la quatrième année
Le taux de rentabilité minimum souhaité par l’entreprise est 4,50 %. Après avoir rappelé ce qu’est l’Indice de Profitabilité (IP), vous l’utiliserez pour déterminer si ce projet est rentable.</t>
  </si>
  <si>
    <t>5.</t>
  </si>
  <si>
    <t>Troisième projet (2021) : Mme Carey souhaite cette fois garder entièrement son indépendance. Le projet coûte 85 000 € et devrait rapporter :
• 14 000 € la première année
• 21 000 € la deuxième année
• 35 000 € la troisième année
• 26 000 € la quatrième année
Après avoir rappelé ce qu’est le TRI, vous l’utiliserez pour déterminer si le projet est rentable.</t>
  </si>
  <si>
    <t>6.</t>
  </si>
  <si>
    <t>Comparez ces deux projets en termes de rentabilité et expliquez votre démarche.</t>
  </si>
  <si>
    <t>7.</t>
  </si>
  <si>
    <t>Déterminez les ratios de rentabilité économique et financière de l’entreprise de Mme Carey à partir des données suivantes :</t>
  </si>
  <si>
    <t>Données pour Question 7</t>
  </si>
  <si>
    <t>Élément</t>
  </si>
  <si>
    <t>Montant</t>
  </si>
  <si>
    <t>Résultat d’exploitation</t>
  </si>
  <si>
    <t>Résultat financier</t>
  </si>
  <si>
    <t>Résultat exceptionnel</t>
  </si>
  <si>
    <t>Impôt sur les sociétés</t>
  </si>
  <si>
    <t>Immobilisations</t>
  </si>
  <si>
    <t>Capitaux propres</t>
  </si>
  <si>
    <t>BFR</t>
  </si>
  <si>
    <t>Correction – Exercice 1</t>
  </si>
  <si>
    <t>Question 1 – Modes de financement d’un projet</t>
  </si>
  <si>
    <t>Mode</t>
  </si>
  <si>
    <t>Description</t>
  </si>
  <si>
    <t>Autofinancement</t>
  </si>
  <si>
    <t>Nécessite un autofinancement suffisant. Avantages : indépendance financière, capacité d’endettement intacte. Inconvénient : mobilise la trésorerie.</t>
  </si>
  <si>
    <t>Apport en capitaux</t>
  </si>
  <si>
    <t>Fait appel à des actionnaires ou investisseurs extérieurs. Préserve la capacité d’endettement. Risque : perte d’indépendance financière.</t>
  </si>
  <si>
    <t>Emprunt</t>
  </si>
  <si>
    <t>Conditions : situation financière saine, projet peu risqué, garanties suffisantes. Avantage : trésorerie préservée. Inconvénient : capacité d’endettement réduite et paiement d’intérêts.</t>
  </si>
  <si>
    <t>Crédit-bail</t>
  </si>
  <si>
    <t>Nécessite une situation financière saine. Avantage : préserve la trésorerie et la capacité d’endettement. Inconvénient : coût plus élevé.</t>
  </si>
  <si>
    <t>Question 2 – Premier projet : emprunt</t>
  </si>
  <si>
    <t>Paramètre</t>
  </si>
  <si>
    <t>Valeur</t>
  </si>
  <si>
    <t>Montant (C0)</t>
  </si>
  <si>
    <t>Taux trimestriel (i_trimestriel)</t>
  </si>
  <si>
    <t>Durée (années)</t>
  </si>
  <si>
    <t>Taux équivalent annuel (i_annuel)</t>
  </si>
  <si>
    <t>Annuité constante (A)</t>
  </si>
  <si>
    <t>Périodicité</t>
  </si>
  <si>
    <t>Annuelle (4 trimestres/an)</t>
  </si>
  <si>
    <t>Mode de financement</t>
  </si>
  <si>
    <t>Emprunt bancaire</t>
  </si>
  <si>
    <t>Caractéristiques</t>
  </si>
  <si>
    <t>Trésorerie préservée; endettement entamé; intérêts dus.</t>
  </si>
  <si>
    <t>Tableau d’amortissement</t>
  </si>
  <si>
    <t>Année</t>
  </si>
  <si>
    <t>Capital début</t>
  </si>
  <si>
    <t>Intérêts</t>
  </si>
  <si>
    <t>Amortissement</t>
  </si>
  <si>
    <t>Annuité</t>
  </si>
  <si>
    <t>Capital fin</t>
  </si>
  <si>
    <t>Question 3 – Deuxième projet (appel d’offre)</t>
  </si>
  <si>
    <t>Type de financement</t>
  </si>
  <si>
    <t>Permet de garder sa capacité d’endettement intacte mais implique des investisseurs externes. Risque : perte d’indépendance financière.</t>
  </si>
  <si>
    <t>Question 4 – Rentabilité du deuxième projet</t>
  </si>
  <si>
    <t>Flux (CF_t)</t>
  </si>
  <si>
    <t>Taux minimum (r)</t>
  </si>
  <si>
    <t>Indice de profitabilité (IP)</t>
  </si>
  <si>
    <t>Décision</t>
  </si>
  <si>
    <t>Question 5 – Troisième projet : autofinancement et calcul du TRI</t>
  </si>
  <si>
    <t>TRI (IRR)</t>
  </si>
  <si>
    <t>Décision (IP)</t>
  </si>
  <si>
    <t>Question 6 – Comparaison des deux projets</t>
  </si>
  <si>
    <t>Comparaison selon l’IP</t>
  </si>
  <si>
    <t>Comparaison selon le TRI</t>
  </si>
  <si>
    <t>Question 7 – Ratios de rentabilité économique et financière</t>
  </si>
  <si>
    <t>Résultat net</t>
  </si>
  <si>
    <t>Actif économique</t>
  </si>
  <si>
    <t>Rentabilité économique</t>
  </si>
  <si>
    <t>Rentabilité financière</t>
  </si>
  <si>
    <t xml:space="preserve"> 14/12/2023</t>
  </si>
  <si>
    <t xml:space="preserve">Évaluation des projets financiers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</si>
</sst>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b/>
      <sz val="18"/>
      <color rgb="FFFFFFFF"/>
      <name val="Calibri Light"/>
      <family val="2"/>
    </font>
    <font>
      <b/>
      <sz val="12"/>
      <color rgb="FFD4AF37"/>
      <name val="Calibri Light"/>
      <family val="2"/>
    </font>
    <font>
      <i/>
      <sz val="10"/>
      <color rgb="FFFFFFFF"/>
      <name val="Calibri Light"/>
      <family val="2"/>
    </font>
    <font>
      <b/>
      <sz val="10"/>
      <color rgb="FF0F1E43"/>
      <name val="Calibri"/>
      <family val="2"/>
    </font>
    <font>
      <b/>
      <sz val="12"/>
      <color rgb="FF0F1E43"/>
      <name val="Calibri Light"/>
      <family val="2"/>
    </font>
    <font>
      <sz val="12"/>
      <name val="Calibri"/>
      <family val="2"/>
    </font>
    <font>
      <sz val="11"/>
      <name val="Calibri"/>
      <family val="2"/>
    </font>
    <font>
      <b/>
      <sz val="11"/>
      <color rgb="FF0F1E43"/>
      <name val="Calibri"/>
      <family val="2"/>
    </font>
    <font>
      <b/>
      <sz val="14"/>
      <color rgb="FF0F1E43"/>
      <name val="Calibri Light"/>
      <family val="2"/>
    </font>
    <font>
      <b/>
      <sz val="11"/>
      <name val="Calibri"/>
      <family val="2"/>
    </font>
  </fonts>
  <fills count="9">
    <fill>
      <patternFill patternType="none"/>
    </fill>
    <fill>
      <patternFill patternType="gray125"/>
    </fill>
    <fill>
      <patternFill patternType="solid">
        <fgColor rgb="FF0F1E43"/>
        <bgColor rgb="FF0F1E43"/>
      </patternFill>
    </fill>
    <fill>
      <patternFill patternType="solid">
        <fgColor rgb="FFF7F7F7"/>
        <bgColor rgb="FFF7F7F7"/>
      </patternFill>
    </fill>
    <fill>
      <patternFill patternType="solid">
        <fgColor rgb="FFFFF8E5"/>
        <bgColor rgb="FFFFF8E5"/>
      </patternFill>
    </fill>
    <fill>
      <patternFill patternType="solid">
        <fgColor rgb="FFF2F2F2"/>
        <bgColor rgb="FFF2F2F2"/>
      </patternFill>
    </fill>
    <fill>
      <patternFill patternType="solid">
        <fgColor theme="0"/>
        <bgColor rgb="FFF7F7F7"/>
      </patternFill>
    </fill>
    <fill>
      <patternFill patternType="solid">
        <fgColor theme="0"/>
        <bgColor indexed="64"/>
      </patternFill>
    </fill>
    <fill>
      <patternFill patternType="solid">
        <fgColor theme="0"/>
        <bgColor rgb="FFFFF8E5"/>
      </patternFill>
    </fill>
  </fills>
  <borders count="1">
    <border>
      <left/>
      <right/>
      <top/>
      <bottom/>
      <diagonal/>
    </border>
  </borders>
  <cellStyleXfs count="1">
    <xf numFmtId="0" fontId="0" fillId="0" borderId="0"/>
  </cellStyleXfs>
  <cellXfs count="44">
    <xf numFmtId="0" fontId="0" fillId="0" borderId="0" xfId="0"/>
    <xf numFmtId="0" fontId="6" fillId="0" borderId="0" xfId="0" applyFont="1"/>
    <xf numFmtId="0" fontId="7" fillId="0" borderId="0" xfId="0" applyFont="1" applyAlignment="1">
      <alignment wrapText="1"/>
    </xf>
    <xf numFmtId="0" fontId="8" fillId="0" borderId="0" xfId="0" applyFont="1"/>
    <xf numFmtId="0" fontId="8" fillId="5" borderId="0" xfId="0" applyFont="1" applyFill="1" applyAlignment="1">
      <alignment horizontal="center"/>
    </xf>
    <xf numFmtId="0" fontId="7" fillId="3" borderId="0" xfId="0" applyFont="1" applyFill="1"/>
    <xf numFmtId="3" fontId="7" fillId="3" borderId="0" xfId="0" applyNumberFormat="1" applyFont="1" applyFill="1"/>
    <xf numFmtId="0" fontId="7" fillId="4" borderId="0" xfId="0" applyFont="1" applyFill="1"/>
    <xf numFmtId="3" fontId="7" fillId="4" borderId="0" xfId="0" applyNumberFormat="1" applyFont="1" applyFill="1"/>
    <xf numFmtId="0" fontId="10" fillId="5" borderId="0" xfId="0" applyFont="1" applyFill="1"/>
    <xf numFmtId="0" fontId="10" fillId="5" borderId="0" xfId="0" applyFont="1" applyFill="1" applyAlignment="1">
      <alignment horizontal="center"/>
    </xf>
    <xf numFmtId="0" fontId="7" fillId="0" borderId="0" xfId="0" applyFont="1"/>
    <xf numFmtId="4" fontId="7" fillId="3" borderId="0" xfId="0" applyNumberFormat="1" applyFont="1" applyFill="1"/>
    <xf numFmtId="4" fontId="7" fillId="4" borderId="0" xfId="0" applyNumberFormat="1" applyFont="1" applyFill="1"/>
    <xf numFmtId="0" fontId="10" fillId="3" borderId="0" xfId="0" applyFont="1" applyFill="1"/>
    <xf numFmtId="0" fontId="10" fillId="4" borderId="0" xfId="0" applyFont="1" applyFill="1"/>
    <xf numFmtId="0" fontId="7" fillId="0" borderId="0" xfId="0" applyFont="1" applyAlignment="1">
      <alignment wrapText="1"/>
    </xf>
    <xf numFmtId="0" fontId="0" fillId="0" borderId="0" xfId="0"/>
    <xf numFmtId="0" fontId="0" fillId="4" borderId="0" xfId="0" applyFill="1"/>
    <xf numFmtId="164" fontId="0" fillId="3" borderId="0" xfId="0" applyNumberFormat="1" applyFill="1"/>
    <xf numFmtId="0" fontId="0" fillId="3" borderId="0" xfId="0" applyFill="1"/>
    <xf numFmtId="0" fontId="7" fillId="4" borderId="0" xfId="0" applyFont="1" applyFill="1"/>
    <xf numFmtId="3" fontId="7" fillId="3" borderId="0" xfId="0" applyNumberFormat="1" applyFont="1" applyFill="1"/>
    <xf numFmtId="0" fontId="5" fillId="5" borderId="0" xfId="0" applyFont="1" applyFill="1" applyAlignment="1">
      <alignment horizontal="left"/>
    </xf>
    <xf numFmtId="10" fontId="7" fillId="4" borderId="0" xfId="0" applyNumberFormat="1" applyFont="1" applyFill="1"/>
    <xf numFmtId="0" fontId="5" fillId="5" borderId="0" xfId="0" applyFont="1" applyFill="1"/>
    <xf numFmtId="0" fontId="7" fillId="3" borderId="0" xfId="0" applyFont="1" applyFill="1" applyAlignment="1">
      <alignment wrapText="1"/>
    </xf>
    <xf numFmtId="0" fontId="9" fillId="5" borderId="0" xfId="0" applyFont="1" applyFill="1"/>
    <xf numFmtId="3" fontId="7" fillId="4" borderId="0" xfId="0" applyNumberFormat="1" applyFont="1" applyFill="1"/>
    <xf numFmtId="0" fontId="7" fillId="3" borderId="0" xfId="0" applyFont="1" applyFill="1"/>
    <xf numFmtId="0" fontId="10" fillId="5" borderId="0" xfId="0" applyFont="1" applyFill="1"/>
    <xf numFmtId="0" fontId="1" fillId="2" borderId="0" xfId="0" applyFont="1" applyFill="1" applyAlignment="1">
      <alignment horizontal="center" vertical="center"/>
    </xf>
    <xf numFmtId="164" fontId="7" fillId="4" borderId="0" xfId="0" applyNumberFormat="1" applyFont="1" applyFill="1"/>
    <xf numFmtId="0" fontId="7" fillId="4" borderId="0" xfId="0" applyFont="1" applyFill="1" applyAlignment="1">
      <alignment wrapText="1"/>
    </xf>
    <xf numFmtId="10" fontId="7" fillId="3" borderId="0" xfId="0" applyNumberFormat="1" applyFont="1" applyFill="1"/>
    <xf numFmtId="164" fontId="0" fillId="4" borderId="0" xfId="0" applyNumberFormat="1" applyFill="1"/>
    <xf numFmtId="0" fontId="10" fillId="5" borderId="0" xfId="0" applyFont="1" applyFill="1" applyAlignment="1">
      <alignment horizontal="center"/>
    </xf>
    <xf numFmtId="0" fontId="3" fillId="2" borderId="0" xfId="0" applyFont="1" applyFill="1" applyAlignment="1">
      <alignment horizontal="right"/>
    </xf>
    <xf numFmtId="0" fontId="2" fillId="2" borderId="0" xfId="0" applyFont="1" applyFill="1" applyAlignment="1">
      <alignment horizontal="center"/>
    </xf>
    <xf numFmtId="4" fontId="7" fillId="3" borderId="0" xfId="0" applyNumberFormat="1" applyFont="1" applyFill="1"/>
    <xf numFmtId="0" fontId="4" fillId="6" borderId="0" xfId="0" applyFont="1" applyFill="1" applyAlignment="1">
      <alignment wrapText="1"/>
    </xf>
    <xf numFmtId="0" fontId="0" fillId="7" borderId="0" xfId="0" applyFill="1"/>
    <xf numFmtId="0" fontId="4" fillId="8" borderId="0" xfId="0" applyFont="1" applyFill="1" applyAlignment="1">
      <alignment wrapText="1"/>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mortissement" displayName="Amortissement" ref="B58:G63">
  <autoFilter ref="B58:G63" xr:uid="{00000000-000C-0000-FFFF-FFFF00000000}"/>
  <tableColumns count="6">
    <tableColumn id="2" xr3:uid="{00000000-0010-0000-0000-000002000000}" name="Année"/>
    <tableColumn id="3" xr3:uid="{00000000-0010-0000-0000-000003000000}" name="Capital début"/>
    <tableColumn id="4" xr3:uid="{00000000-0010-0000-0000-000004000000}" name="Intérêts"/>
    <tableColumn id="5" xr3:uid="{00000000-0010-0000-0000-000005000000}" name="Amortissement"/>
    <tableColumn id="6" xr3:uid="{00000000-0010-0000-0000-000006000000}" name="Annuité"/>
    <tableColumn id="7" xr3:uid="{00000000-0010-0000-0000-000007000000}" name="Capital fi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08"/>
  <sheetViews>
    <sheetView showGridLines="0" tabSelected="1" zoomScaleNormal="100" workbookViewId="0">
      <selection activeCell="I13" sqref="I13"/>
    </sheetView>
  </sheetViews>
  <sheetFormatPr baseColWidth="10" defaultColWidth="8.83203125" defaultRowHeight="15" x14ac:dyDescent="0.2"/>
  <cols>
    <col min="1" max="1" width="2" customWidth="1"/>
    <col min="2" max="2" width="18" customWidth="1"/>
    <col min="3" max="3" width="31.6640625" customWidth="1"/>
    <col min="4" max="9" width="18" customWidth="1"/>
  </cols>
  <sheetData>
    <row r="1" spans="2:9" ht="24" x14ac:dyDescent="0.2">
      <c r="B1" s="31" t="s">
        <v>87</v>
      </c>
      <c r="C1" s="17"/>
      <c r="D1" s="17"/>
      <c r="E1" s="17"/>
      <c r="F1" s="17"/>
      <c r="G1" s="17"/>
      <c r="H1" s="17"/>
      <c r="I1" s="17"/>
    </row>
    <row r="2" spans="2:9" ht="16" x14ac:dyDescent="0.2">
      <c r="B2" s="38" t="s">
        <v>0</v>
      </c>
      <c r="C2" s="17"/>
      <c r="D2" s="17"/>
      <c r="E2" s="17"/>
      <c r="F2" s="17"/>
      <c r="G2" s="17"/>
      <c r="H2" s="17"/>
      <c r="I2" s="17"/>
    </row>
    <row r="3" spans="2:9" x14ac:dyDescent="0.2">
      <c r="B3" s="37" t="s">
        <v>86</v>
      </c>
      <c r="C3" s="17"/>
      <c r="D3" s="17"/>
      <c r="E3" s="17"/>
      <c r="F3" s="17"/>
      <c r="G3" s="17"/>
      <c r="H3" s="17"/>
      <c r="I3" s="17"/>
    </row>
    <row r="5" spans="2:9" x14ac:dyDescent="0.2">
      <c r="B5" s="40"/>
      <c r="C5" s="41"/>
      <c r="D5" s="42"/>
      <c r="E5" s="41"/>
      <c r="F5" s="40"/>
      <c r="G5" s="41"/>
      <c r="H5" s="42"/>
      <c r="I5" s="41"/>
    </row>
    <row r="6" spans="2:9" x14ac:dyDescent="0.2">
      <c r="B6" s="40"/>
      <c r="C6" s="41"/>
      <c r="D6" s="42"/>
      <c r="E6" s="41"/>
      <c r="F6" s="40"/>
      <c r="G6" s="41"/>
      <c r="H6" s="43"/>
      <c r="I6" s="43"/>
    </row>
    <row r="8" spans="2:9" ht="16" x14ac:dyDescent="0.2">
      <c r="B8" s="23" t="s">
        <v>1</v>
      </c>
      <c r="C8" s="17"/>
      <c r="D8" s="17"/>
      <c r="E8" s="17"/>
      <c r="F8" s="17"/>
      <c r="G8" s="17"/>
      <c r="H8" s="17"/>
      <c r="I8" s="17"/>
    </row>
    <row r="9" spans="2:9" ht="48" x14ac:dyDescent="0.2">
      <c r="B9" s="1" t="s">
        <v>2</v>
      </c>
      <c r="C9" s="2" t="s">
        <v>3</v>
      </c>
    </row>
    <row r="10" spans="2:9" ht="64" x14ac:dyDescent="0.2">
      <c r="B10" s="1" t="s">
        <v>2</v>
      </c>
      <c r="C10" s="2" t="s">
        <v>4</v>
      </c>
    </row>
    <row r="11" spans="2:9" ht="80" x14ac:dyDescent="0.2">
      <c r="B11" s="1" t="s">
        <v>2</v>
      </c>
      <c r="C11" s="2" t="s">
        <v>5</v>
      </c>
    </row>
    <row r="12" spans="2:9" ht="32" x14ac:dyDescent="0.2">
      <c r="B12" s="1" t="s">
        <v>2</v>
      </c>
      <c r="C12" s="2" t="s">
        <v>6</v>
      </c>
    </row>
    <row r="13" spans="2:9" ht="80" x14ac:dyDescent="0.2">
      <c r="B13" s="1" t="s">
        <v>2</v>
      </c>
      <c r="C13" s="2" t="s">
        <v>7</v>
      </c>
    </row>
    <row r="14" spans="2:9" ht="32" x14ac:dyDescent="0.2">
      <c r="B14" s="1" t="s">
        <v>2</v>
      </c>
      <c r="C14" s="2" t="s">
        <v>8</v>
      </c>
    </row>
    <row r="16" spans="2:9" ht="16" x14ac:dyDescent="0.2">
      <c r="B16" s="25" t="s">
        <v>9</v>
      </c>
      <c r="C16" s="17"/>
      <c r="D16" s="17"/>
      <c r="E16" s="17"/>
      <c r="F16" s="17"/>
      <c r="G16" s="17"/>
      <c r="H16" s="17"/>
      <c r="I16" s="17"/>
    </row>
    <row r="17" spans="2:9" x14ac:dyDescent="0.2">
      <c r="B17" s="3" t="s">
        <v>10</v>
      </c>
      <c r="C17" s="16" t="s">
        <v>11</v>
      </c>
      <c r="D17" s="17"/>
      <c r="E17" s="17"/>
      <c r="F17" s="17"/>
      <c r="G17" s="17"/>
      <c r="H17" s="17"/>
      <c r="I17" s="17"/>
    </row>
    <row r="18" spans="2:9" x14ac:dyDescent="0.2">
      <c r="B18" s="3" t="s">
        <v>12</v>
      </c>
      <c r="C18" s="16" t="s">
        <v>13</v>
      </c>
      <c r="D18" s="17"/>
      <c r="E18" s="17"/>
      <c r="F18" s="17"/>
      <c r="G18" s="17"/>
      <c r="H18" s="17"/>
      <c r="I18" s="17"/>
    </row>
    <row r="19" spans="2:9" x14ac:dyDescent="0.2">
      <c r="B19" s="3" t="s">
        <v>14</v>
      </c>
      <c r="C19" s="16" t="s">
        <v>15</v>
      </c>
      <c r="D19" s="17"/>
      <c r="E19" s="17"/>
      <c r="F19" s="17"/>
      <c r="G19" s="17"/>
      <c r="H19" s="17"/>
      <c r="I19" s="17"/>
    </row>
    <row r="20" spans="2:9" x14ac:dyDescent="0.2">
      <c r="B20" s="3" t="s">
        <v>16</v>
      </c>
      <c r="C20" s="16" t="s">
        <v>17</v>
      </c>
      <c r="D20" s="17"/>
      <c r="E20" s="17"/>
      <c r="F20" s="17"/>
      <c r="G20" s="17"/>
      <c r="H20" s="17"/>
      <c r="I20" s="17"/>
    </row>
    <row r="21" spans="2:9" x14ac:dyDescent="0.2">
      <c r="B21" s="3" t="s">
        <v>18</v>
      </c>
      <c r="C21" s="16" t="s">
        <v>19</v>
      </c>
      <c r="D21" s="17"/>
      <c r="E21" s="17"/>
      <c r="F21" s="17"/>
      <c r="G21" s="17"/>
      <c r="H21" s="17"/>
      <c r="I21" s="17"/>
    </row>
    <row r="22" spans="2:9" x14ac:dyDescent="0.2">
      <c r="B22" s="3" t="s">
        <v>20</v>
      </c>
      <c r="C22" s="16" t="s">
        <v>21</v>
      </c>
      <c r="D22" s="17"/>
      <c r="E22" s="17"/>
      <c r="F22" s="17"/>
      <c r="G22" s="17"/>
      <c r="H22" s="17"/>
      <c r="I22" s="17"/>
    </row>
    <row r="23" spans="2:9" x14ac:dyDescent="0.2">
      <c r="B23" s="3" t="s">
        <v>22</v>
      </c>
      <c r="C23" s="16" t="s">
        <v>23</v>
      </c>
      <c r="D23" s="17"/>
      <c r="E23" s="17"/>
      <c r="F23" s="17"/>
      <c r="G23" s="17"/>
      <c r="H23" s="17"/>
      <c r="I23" s="17"/>
    </row>
    <row r="25" spans="2:9" ht="16" x14ac:dyDescent="0.2">
      <c r="B25" s="25" t="s">
        <v>24</v>
      </c>
      <c r="C25" s="17"/>
      <c r="D25" s="17"/>
      <c r="E25" s="17"/>
      <c r="F25" s="17"/>
      <c r="G25" s="17"/>
      <c r="H25" s="17"/>
      <c r="I25" s="17"/>
    </row>
    <row r="26" spans="2:9" x14ac:dyDescent="0.2">
      <c r="B26" s="4" t="s">
        <v>25</v>
      </c>
      <c r="C26" s="4" t="s">
        <v>26</v>
      </c>
    </row>
    <row r="27" spans="2:9" x14ac:dyDescent="0.2">
      <c r="B27" s="5" t="s">
        <v>27</v>
      </c>
      <c r="C27" s="6">
        <v>900</v>
      </c>
    </row>
    <row r="28" spans="2:9" x14ac:dyDescent="0.2">
      <c r="B28" s="7" t="s">
        <v>28</v>
      </c>
      <c r="C28" s="8">
        <v>35</v>
      </c>
    </row>
    <row r="29" spans="2:9" x14ac:dyDescent="0.2">
      <c r="B29" s="5" t="s">
        <v>29</v>
      </c>
      <c r="C29" s="6">
        <v>20</v>
      </c>
    </row>
    <row r="30" spans="2:9" x14ac:dyDescent="0.2">
      <c r="B30" s="7" t="s">
        <v>30</v>
      </c>
      <c r="C30" s="8">
        <v>200</v>
      </c>
    </row>
    <row r="31" spans="2:9" x14ac:dyDescent="0.2">
      <c r="B31" s="5" t="s">
        <v>31</v>
      </c>
      <c r="C31" s="6">
        <v>650</v>
      </c>
    </row>
    <row r="32" spans="2:9" x14ac:dyDescent="0.2">
      <c r="B32" s="7" t="s">
        <v>32</v>
      </c>
      <c r="C32" s="8">
        <v>600</v>
      </c>
    </row>
    <row r="33" spans="2:9" x14ac:dyDescent="0.2">
      <c r="B33" s="5" t="s">
        <v>33</v>
      </c>
      <c r="C33" s="6">
        <v>0</v>
      </c>
    </row>
    <row r="36" spans="2:9" ht="19" x14ac:dyDescent="0.25">
      <c r="B36" s="27" t="s">
        <v>34</v>
      </c>
      <c r="C36" s="17"/>
      <c r="D36" s="17"/>
      <c r="E36" s="17"/>
      <c r="F36" s="17"/>
      <c r="G36" s="17"/>
      <c r="H36" s="17"/>
      <c r="I36" s="17"/>
    </row>
    <row r="38" spans="2:9" ht="16" x14ac:dyDescent="0.2">
      <c r="B38" s="25" t="s">
        <v>35</v>
      </c>
      <c r="C38" s="17"/>
      <c r="D38" s="17"/>
      <c r="E38" s="17"/>
      <c r="F38" s="17"/>
      <c r="G38" s="17"/>
      <c r="H38" s="17"/>
      <c r="I38" s="17"/>
    </row>
    <row r="39" spans="2:9" x14ac:dyDescent="0.2">
      <c r="B39" s="9" t="s">
        <v>36</v>
      </c>
      <c r="C39" s="36" t="s">
        <v>37</v>
      </c>
      <c r="D39" s="17"/>
      <c r="E39" s="17"/>
      <c r="F39" s="17"/>
      <c r="G39" s="17"/>
      <c r="H39" s="17"/>
      <c r="I39" s="17"/>
    </row>
    <row r="40" spans="2:9" x14ac:dyDescent="0.2">
      <c r="B40" s="5" t="s">
        <v>38</v>
      </c>
      <c r="C40" s="26" t="s">
        <v>39</v>
      </c>
      <c r="D40" s="20"/>
      <c r="E40" s="20"/>
      <c r="F40" s="20"/>
      <c r="G40" s="20"/>
      <c r="H40" s="20"/>
      <c r="I40" s="20"/>
    </row>
    <row r="41" spans="2:9" x14ac:dyDescent="0.2">
      <c r="B41" s="7" t="s">
        <v>40</v>
      </c>
      <c r="C41" s="33" t="s">
        <v>41</v>
      </c>
      <c r="D41" s="18"/>
      <c r="E41" s="18"/>
      <c r="F41" s="18"/>
      <c r="G41" s="18"/>
      <c r="H41" s="18"/>
      <c r="I41" s="18"/>
    </row>
    <row r="42" spans="2:9" x14ac:dyDescent="0.2">
      <c r="B42" s="5" t="s">
        <v>42</v>
      </c>
      <c r="C42" s="26" t="s">
        <v>43</v>
      </c>
      <c r="D42" s="20"/>
      <c r="E42" s="20"/>
      <c r="F42" s="20"/>
      <c r="G42" s="20"/>
      <c r="H42" s="20"/>
      <c r="I42" s="20"/>
    </row>
    <row r="43" spans="2:9" x14ac:dyDescent="0.2">
      <c r="B43" s="7" t="s">
        <v>44</v>
      </c>
      <c r="C43" s="33" t="s">
        <v>45</v>
      </c>
      <c r="D43" s="18"/>
      <c r="E43" s="18"/>
      <c r="F43" s="18"/>
      <c r="G43" s="18"/>
      <c r="H43" s="18"/>
      <c r="I43" s="18"/>
    </row>
    <row r="46" spans="2:9" ht="16" x14ac:dyDescent="0.2">
      <c r="B46" s="25" t="s">
        <v>46</v>
      </c>
      <c r="C46" s="17"/>
      <c r="D46" s="17"/>
      <c r="E46" s="17"/>
      <c r="F46" s="17"/>
      <c r="G46" s="17"/>
      <c r="H46" s="17"/>
      <c r="I46" s="17"/>
    </row>
    <row r="47" spans="2:9" x14ac:dyDescent="0.2">
      <c r="B47" s="9" t="s">
        <v>47</v>
      </c>
      <c r="C47" s="30" t="s">
        <v>48</v>
      </c>
      <c r="D47" s="17"/>
    </row>
    <row r="48" spans="2:9" x14ac:dyDescent="0.2">
      <c r="B48" s="11" t="s">
        <v>49</v>
      </c>
      <c r="C48" s="28">
        <v>150000</v>
      </c>
      <c r="D48" s="17"/>
    </row>
    <row r="49" spans="2:9" x14ac:dyDescent="0.2">
      <c r="B49" s="11" t="s">
        <v>50</v>
      </c>
      <c r="C49" s="24">
        <v>5.2999999999999999E-2</v>
      </c>
      <c r="D49" s="17"/>
    </row>
    <row r="50" spans="2:9" x14ac:dyDescent="0.2">
      <c r="B50" s="11" t="s">
        <v>51</v>
      </c>
      <c r="C50" s="21">
        <v>5</v>
      </c>
      <c r="D50" s="17"/>
    </row>
    <row r="51" spans="2:9" x14ac:dyDescent="0.2">
      <c r="B51" s="11" t="s">
        <v>52</v>
      </c>
      <c r="C51" s="34">
        <f>(1 + C49)^4 - 1</f>
        <v>0.22945739848099977</v>
      </c>
      <c r="D51" s="17"/>
    </row>
    <row r="52" spans="2:9" x14ac:dyDescent="0.2">
      <c r="B52" s="11" t="s">
        <v>53</v>
      </c>
      <c r="C52" s="39">
        <f>C48 * C51 / (1 - (1 + C51)^(-C50))</f>
        <v>53443.861119037254</v>
      </c>
      <c r="D52" s="17"/>
    </row>
    <row r="53" spans="2:9" x14ac:dyDescent="0.2">
      <c r="B53" s="11" t="s">
        <v>54</v>
      </c>
      <c r="C53" s="21" t="s">
        <v>55</v>
      </c>
      <c r="D53" s="18"/>
    </row>
    <row r="54" spans="2:9" x14ac:dyDescent="0.2">
      <c r="B54" s="11" t="s">
        <v>56</v>
      </c>
      <c r="C54" s="21" t="s">
        <v>57</v>
      </c>
      <c r="D54" s="18"/>
    </row>
    <row r="55" spans="2:9" x14ac:dyDescent="0.2">
      <c r="B55" s="11" t="s">
        <v>58</v>
      </c>
      <c r="C55" s="33" t="s">
        <v>59</v>
      </c>
      <c r="D55" s="18"/>
    </row>
    <row r="57" spans="2:9" ht="16" x14ac:dyDescent="0.2">
      <c r="B57" s="25" t="s">
        <v>60</v>
      </c>
      <c r="C57" s="17"/>
      <c r="D57" s="17"/>
      <c r="E57" s="17"/>
      <c r="F57" s="17"/>
      <c r="G57" s="17"/>
      <c r="H57" s="17"/>
      <c r="I57" s="17"/>
    </row>
    <row r="58" spans="2:9" x14ac:dyDescent="0.2">
      <c r="B58" s="10" t="s">
        <v>61</v>
      </c>
      <c r="C58" s="10" t="s">
        <v>62</v>
      </c>
      <c r="D58" s="10" t="s">
        <v>63</v>
      </c>
      <c r="E58" s="10" t="s">
        <v>64</v>
      </c>
      <c r="F58" s="10" t="s">
        <v>65</v>
      </c>
      <c r="G58" s="10" t="s">
        <v>66</v>
      </c>
    </row>
    <row r="59" spans="2:9" x14ac:dyDescent="0.2">
      <c r="B59" s="5">
        <v>1</v>
      </c>
      <c r="C59" s="12">
        <f>C48</f>
        <v>150000</v>
      </c>
      <c r="D59" s="12">
        <f>C59*C51</f>
        <v>34418.609772149968</v>
      </c>
      <c r="E59" s="12">
        <f>$C$52 - D59</f>
        <v>19025.251346887286</v>
      </c>
      <c r="F59" s="12">
        <f>$C$52</f>
        <v>53443.861119037254</v>
      </c>
      <c r="G59" s="12">
        <f>C59-E59</f>
        <v>130974.74865311271</v>
      </c>
    </row>
    <row r="60" spans="2:9" x14ac:dyDescent="0.2">
      <c r="B60" s="7">
        <v>2</v>
      </c>
      <c r="C60" s="13">
        <f>G59</f>
        <v>130974.74865311271</v>
      </c>
      <c r="D60" s="13">
        <f>C60*C51</f>
        <v>30053.125092646071</v>
      </c>
      <c r="E60" s="13">
        <f>$C$52 - D60</f>
        <v>23390.736026391183</v>
      </c>
      <c r="F60" s="13">
        <f>$C$52</f>
        <v>53443.861119037254</v>
      </c>
      <c r="G60" s="13">
        <f>C60-E60</f>
        <v>107584.01262672152</v>
      </c>
    </row>
    <row r="61" spans="2:9" x14ac:dyDescent="0.2">
      <c r="B61" s="5">
        <v>3</v>
      </c>
      <c r="C61" s="12">
        <f>G60</f>
        <v>107584.01262672152</v>
      </c>
      <c r="D61" s="12">
        <f>C61*C51</f>
        <v>24685.947655474552</v>
      </c>
      <c r="E61" s="12">
        <f>$C$52 - D61</f>
        <v>28757.913463562702</v>
      </c>
      <c r="F61" s="12">
        <f>$C$52</f>
        <v>53443.861119037254</v>
      </c>
      <c r="G61" s="12">
        <f>C61-E61</f>
        <v>78826.099163158826</v>
      </c>
    </row>
    <row r="62" spans="2:9" x14ac:dyDescent="0.2">
      <c r="B62" s="7">
        <v>4</v>
      </c>
      <c r="C62" s="13">
        <f>G61</f>
        <v>78826.099163158826</v>
      </c>
      <c r="D62" s="13">
        <f>C62*C51</f>
        <v>18087.231646383738</v>
      </c>
      <c r="E62" s="13">
        <f>$C$52 - D62</f>
        <v>35356.629472653512</v>
      </c>
      <c r="F62" s="13">
        <f>$C$52</f>
        <v>53443.861119037254</v>
      </c>
      <c r="G62" s="13">
        <f>C62-E62</f>
        <v>43469.469690505313</v>
      </c>
    </row>
    <row r="63" spans="2:9" x14ac:dyDescent="0.2">
      <c r="B63" s="5">
        <v>5</v>
      </c>
      <c r="C63" s="12">
        <f>G62</f>
        <v>43469.469690505313</v>
      </c>
      <c r="D63" s="12">
        <f>C63*C51</f>
        <v>9974.3914285320188</v>
      </c>
      <c r="E63" s="12">
        <f>$C$52 - D63</f>
        <v>43469.469690505233</v>
      </c>
      <c r="F63" s="12">
        <f>$C$52</f>
        <v>53443.861119037254</v>
      </c>
      <c r="G63" s="12">
        <f>C63-E63</f>
        <v>8.0035533756017685E-11</v>
      </c>
    </row>
    <row r="65" spans="2:9" ht="16" x14ac:dyDescent="0.2">
      <c r="B65" s="25" t="s">
        <v>67</v>
      </c>
      <c r="C65" s="17"/>
      <c r="D65" s="17"/>
      <c r="E65" s="17"/>
      <c r="F65" s="17"/>
      <c r="G65" s="17"/>
      <c r="H65" s="17"/>
      <c r="I65" s="17"/>
    </row>
    <row r="66" spans="2:9" x14ac:dyDescent="0.2">
      <c r="B66" s="14" t="s">
        <v>68</v>
      </c>
      <c r="C66" s="29" t="s">
        <v>40</v>
      </c>
      <c r="D66" s="20"/>
      <c r="E66" s="20"/>
    </row>
    <row r="67" spans="2:9" x14ac:dyDescent="0.2">
      <c r="B67" s="15" t="s">
        <v>58</v>
      </c>
      <c r="C67" s="33" t="s">
        <v>69</v>
      </c>
      <c r="D67" s="18"/>
      <c r="E67" s="18"/>
    </row>
    <row r="69" spans="2:9" ht="16" x14ac:dyDescent="0.2">
      <c r="B69" s="25" t="s">
        <v>70</v>
      </c>
      <c r="C69" s="17"/>
      <c r="D69" s="17"/>
      <c r="E69" s="17"/>
      <c r="F69" s="17"/>
      <c r="G69" s="17"/>
      <c r="H69" s="17"/>
      <c r="I69" s="17"/>
    </row>
    <row r="70" spans="2:9" x14ac:dyDescent="0.2">
      <c r="B70" s="9" t="s">
        <v>61</v>
      </c>
      <c r="C70" s="9" t="s">
        <v>71</v>
      </c>
    </row>
    <row r="71" spans="2:9" x14ac:dyDescent="0.2">
      <c r="B71" s="5">
        <v>0</v>
      </c>
      <c r="C71" s="22">
        <v>-230000</v>
      </c>
      <c r="D71" s="17"/>
    </row>
    <row r="72" spans="2:9" x14ac:dyDescent="0.2">
      <c r="B72" s="7">
        <v>1</v>
      </c>
      <c r="C72" s="28">
        <v>43000</v>
      </c>
      <c r="D72" s="17"/>
    </row>
    <row r="73" spans="2:9" x14ac:dyDescent="0.2">
      <c r="B73" s="5">
        <v>2</v>
      </c>
      <c r="C73" s="22">
        <v>69000</v>
      </c>
      <c r="D73" s="17"/>
    </row>
    <row r="74" spans="2:9" x14ac:dyDescent="0.2">
      <c r="B74" s="7">
        <v>3</v>
      </c>
      <c r="C74" s="28">
        <v>84000</v>
      </c>
      <c r="D74" s="17"/>
    </row>
    <row r="75" spans="2:9" x14ac:dyDescent="0.2">
      <c r="B75" s="5">
        <v>4</v>
      </c>
      <c r="C75" s="22">
        <v>78000</v>
      </c>
      <c r="D75" s="17"/>
    </row>
    <row r="76" spans="2:9" x14ac:dyDescent="0.2">
      <c r="B76" s="15" t="s">
        <v>72</v>
      </c>
      <c r="C76" s="24">
        <v>4.4999999999999998E-2</v>
      </c>
      <c r="D76" s="17"/>
    </row>
    <row r="77" spans="2:9" x14ac:dyDescent="0.2">
      <c r="B77" s="15" t="s">
        <v>73</v>
      </c>
      <c r="C77" s="32">
        <f>NPV(C76, C72:C75) / (-C71)</f>
        <v>1.0580451805874524</v>
      </c>
      <c r="D77" s="17"/>
    </row>
    <row r="78" spans="2:9" x14ac:dyDescent="0.2">
      <c r="B78" s="15" t="s">
        <v>74</v>
      </c>
      <c r="C78" s="21" t="str">
        <f>IF(C77&gt;1, "Rentable", "Non rentable")</f>
        <v>Rentable</v>
      </c>
      <c r="D78" s="17"/>
    </row>
    <row r="80" spans="2:9" ht="16" x14ac:dyDescent="0.2">
      <c r="B80" s="25" t="s">
        <v>75</v>
      </c>
      <c r="C80" s="17"/>
      <c r="D80" s="17"/>
      <c r="E80" s="17"/>
      <c r="F80" s="17"/>
      <c r="G80" s="17"/>
      <c r="H80" s="17"/>
      <c r="I80" s="17"/>
    </row>
    <row r="81" spans="2:9" x14ac:dyDescent="0.2">
      <c r="B81" s="9" t="s">
        <v>61</v>
      </c>
      <c r="C81" s="30" t="s">
        <v>71</v>
      </c>
      <c r="D81" s="17"/>
    </row>
    <row r="82" spans="2:9" x14ac:dyDescent="0.2">
      <c r="B82" s="5">
        <v>0</v>
      </c>
      <c r="C82" s="22">
        <v>-85000</v>
      </c>
      <c r="D82" s="17"/>
    </row>
    <row r="83" spans="2:9" x14ac:dyDescent="0.2">
      <c r="B83" s="7">
        <v>1</v>
      </c>
      <c r="C83" s="28">
        <v>14000</v>
      </c>
      <c r="D83" s="17"/>
    </row>
    <row r="84" spans="2:9" x14ac:dyDescent="0.2">
      <c r="B84" s="5">
        <v>2</v>
      </c>
      <c r="C84" s="22">
        <v>21000</v>
      </c>
      <c r="D84" s="17"/>
    </row>
    <row r="85" spans="2:9" x14ac:dyDescent="0.2">
      <c r="B85" s="7">
        <v>3</v>
      </c>
      <c r="C85" s="28">
        <v>35000</v>
      </c>
      <c r="D85" s="17"/>
    </row>
    <row r="86" spans="2:9" x14ac:dyDescent="0.2">
      <c r="B86" s="5">
        <v>4</v>
      </c>
      <c r="C86" s="22">
        <v>26000</v>
      </c>
      <c r="D86" s="17"/>
    </row>
    <row r="87" spans="2:9" x14ac:dyDescent="0.2">
      <c r="B87" s="15" t="s">
        <v>76</v>
      </c>
      <c r="C87" s="24">
        <f>IRR(C82:C86)</f>
        <v>4.5454594021240746E-2</v>
      </c>
      <c r="D87" s="17"/>
    </row>
    <row r="88" spans="2:9" x14ac:dyDescent="0.2">
      <c r="B88" s="15" t="s">
        <v>73</v>
      </c>
      <c r="C88" s="32">
        <f>NPV(C76, C83:C86) / (-C82)</f>
        <v>1.0011815792698033</v>
      </c>
      <c r="D88" s="17"/>
    </row>
    <row r="89" spans="2:9" x14ac:dyDescent="0.2">
      <c r="B89" s="15" t="s">
        <v>77</v>
      </c>
      <c r="C89" s="21" t="str">
        <f>IF(C88&gt;1, "Rentable", "Non rentable")</f>
        <v>Rentable</v>
      </c>
      <c r="D89" s="17"/>
    </row>
    <row r="91" spans="2:9" ht="16" x14ac:dyDescent="0.2">
      <c r="B91" s="25" t="s">
        <v>78</v>
      </c>
      <c r="C91" s="17"/>
      <c r="D91" s="17"/>
      <c r="E91" s="17"/>
      <c r="F91" s="17"/>
      <c r="G91" s="17"/>
      <c r="H91" s="17"/>
      <c r="I91" s="17"/>
    </row>
    <row r="92" spans="2:9" x14ac:dyDescent="0.2">
      <c r="B92" s="14" t="s">
        <v>79</v>
      </c>
      <c r="C92" s="29" t="str">
        <f>IF(C77&gt;C88, "Projet 2 plus rentable", "Projet 3 plus rentable")</f>
        <v>Projet 2 plus rentable</v>
      </c>
      <c r="D92" s="17"/>
      <c r="E92" s="17"/>
      <c r="F92" s="17"/>
    </row>
    <row r="93" spans="2:9" x14ac:dyDescent="0.2">
      <c r="B93" s="15" t="s">
        <v>80</v>
      </c>
      <c r="C93" s="21" t="str">
        <f>IF(C87&gt;C76, "IRR &gt; r : Projet 3 rentable", "IRR &lt; r : Projet 3 non rentable")</f>
        <v>IRR &gt; r : Projet 3 rentable</v>
      </c>
      <c r="D93" s="17"/>
      <c r="E93" s="17"/>
      <c r="F93" s="17"/>
    </row>
    <row r="95" spans="2:9" ht="16" x14ac:dyDescent="0.2">
      <c r="B95" s="25" t="s">
        <v>81</v>
      </c>
      <c r="C95" s="17"/>
      <c r="D95" s="17"/>
      <c r="E95" s="17"/>
      <c r="F95" s="17"/>
      <c r="G95" s="17"/>
      <c r="H95" s="17"/>
      <c r="I95" s="17"/>
    </row>
    <row r="96" spans="2:9" x14ac:dyDescent="0.2">
      <c r="B96" s="9" t="s">
        <v>47</v>
      </c>
      <c r="C96" s="30" t="s">
        <v>48</v>
      </c>
      <c r="D96" s="17"/>
    </row>
    <row r="97" spans="2:6" x14ac:dyDescent="0.2">
      <c r="B97" s="5" t="s">
        <v>27</v>
      </c>
      <c r="C97" s="29">
        <f>C27</f>
        <v>900</v>
      </c>
      <c r="D97" s="20"/>
    </row>
    <row r="98" spans="2:6" x14ac:dyDescent="0.2">
      <c r="B98" s="7" t="s">
        <v>28</v>
      </c>
      <c r="C98" s="18">
        <f>C28</f>
        <v>35</v>
      </c>
      <c r="D98" s="18"/>
    </row>
    <row r="99" spans="2:6" x14ac:dyDescent="0.2">
      <c r="B99" s="5" t="s">
        <v>29</v>
      </c>
      <c r="C99" s="20">
        <f>C29</f>
        <v>20</v>
      </c>
      <c r="D99" s="20"/>
    </row>
    <row r="100" spans="2:6" x14ac:dyDescent="0.2">
      <c r="B100" s="7" t="s">
        <v>30</v>
      </c>
      <c r="C100" s="18">
        <f>C30</f>
        <v>200</v>
      </c>
      <c r="D100" s="18"/>
    </row>
    <row r="101" spans="2:6" x14ac:dyDescent="0.2">
      <c r="B101" s="5" t="s">
        <v>31</v>
      </c>
      <c r="C101" s="20">
        <f>C31</f>
        <v>650</v>
      </c>
      <c r="D101" s="20"/>
    </row>
    <row r="102" spans="2:6" x14ac:dyDescent="0.2">
      <c r="B102" s="7" t="s">
        <v>33</v>
      </c>
      <c r="C102" s="18">
        <f>C33</f>
        <v>0</v>
      </c>
      <c r="D102" s="18"/>
    </row>
    <row r="103" spans="2:6" x14ac:dyDescent="0.2">
      <c r="B103" s="5" t="s">
        <v>32</v>
      </c>
      <c r="C103" s="20">
        <f>C32</f>
        <v>600</v>
      </c>
      <c r="D103" s="20"/>
    </row>
    <row r="104" spans="2:6" x14ac:dyDescent="0.2">
      <c r="B104" s="15" t="s">
        <v>82</v>
      </c>
      <c r="C104" s="18">
        <f>C27 + C28 + C29 - C30</f>
        <v>755</v>
      </c>
      <c r="D104" s="18"/>
    </row>
    <row r="105" spans="2:6" x14ac:dyDescent="0.2">
      <c r="B105" s="14" t="s">
        <v>83</v>
      </c>
      <c r="C105" s="20">
        <f>C31 + C33</f>
        <v>650</v>
      </c>
      <c r="D105" s="20"/>
    </row>
    <row r="106" spans="2:6" x14ac:dyDescent="0.2">
      <c r="B106" s="15" t="s">
        <v>84</v>
      </c>
      <c r="C106" s="35">
        <f>(C27 - C30) / C105</f>
        <v>1.0769230769230769</v>
      </c>
      <c r="D106" s="18"/>
    </row>
    <row r="107" spans="2:6" x14ac:dyDescent="0.2">
      <c r="B107" s="14" t="s">
        <v>85</v>
      </c>
      <c r="C107" s="19">
        <f>C104 / C32</f>
        <v>1.2583333333333333</v>
      </c>
      <c r="D107" s="20"/>
    </row>
    <row r="108" spans="2:6" x14ac:dyDescent="0.2">
      <c r="B108" s="15" t="s">
        <v>74</v>
      </c>
      <c r="C108" s="18" t="str">
        <f>IF(C106&gt;1, "Rentable", "Non rentable") &amp; " économique; " &amp; IF(C107&gt;1, "Rentable", "Non rentable") &amp; " financière"</f>
        <v>Rentable économique; Rentable financière</v>
      </c>
      <c r="D108" s="18"/>
      <c r="E108" s="18"/>
      <c r="F108" s="18"/>
    </row>
  </sheetData>
  <mergeCells count="77">
    <mergeCell ref="B3:I3"/>
    <mergeCell ref="C74:D74"/>
    <mergeCell ref="C88:D88"/>
    <mergeCell ref="C103:D103"/>
    <mergeCell ref="B2:I2"/>
    <mergeCell ref="C55:D55"/>
    <mergeCell ref="C99:D99"/>
    <mergeCell ref="B57:I57"/>
    <mergeCell ref="C66:E66"/>
    <mergeCell ref="C52:D52"/>
    <mergeCell ref="C41:I41"/>
    <mergeCell ref="C72:D72"/>
    <mergeCell ref="C81:D81"/>
    <mergeCell ref="C43:I43"/>
    <mergeCell ref="B80:I80"/>
    <mergeCell ref="C96:D96"/>
    <mergeCell ref="B5:C5"/>
    <mergeCell ref="B95:I95"/>
    <mergeCell ref="D5:E5"/>
    <mergeCell ref="C49:D49"/>
    <mergeCell ref="C101:D101"/>
    <mergeCell ref="C39:I39"/>
    <mergeCell ref="B16:I16"/>
    <mergeCell ref="C78:D78"/>
    <mergeCell ref="C87:D87"/>
    <mergeCell ref="C108:F108"/>
    <mergeCell ref="C67:E67"/>
    <mergeCell ref="B69:I69"/>
    <mergeCell ref="B38:I38"/>
    <mergeCell ref="C51:D51"/>
    <mergeCell ref="C48:D48"/>
    <mergeCell ref="C106:D106"/>
    <mergeCell ref="C104:D104"/>
    <mergeCell ref="F5:G5"/>
    <mergeCell ref="C92:F92"/>
    <mergeCell ref="C42:I42"/>
    <mergeCell ref="B1:I1"/>
    <mergeCell ref="C71:D71"/>
    <mergeCell ref="C20:I20"/>
    <mergeCell ref="B6:C6"/>
    <mergeCell ref="C22:I22"/>
    <mergeCell ref="C82:D82"/>
    <mergeCell ref="H5:I5"/>
    <mergeCell ref="C53:D53"/>
    <mergeCell ref="C77:D77"/>
    <mergeCell ref="C86:D86"/>
    <mergeCell ref="B91:I91"/>
    <mergeCell ref="B25:I25"/>
    <mergeCell ref="C85:D85"/>
    <mergeCell ref="D6:E6"/>
    <mergeCell ref="C54:D54"/>
    <mergeCell ref="C50:D50"/>
    <mergeCell ref="B8:I8"/>
    <mergeCell ref="C105:D105"/>
    <mergeCell ref="C76:D76"/>
    <mergeCell ref="C93:F93"/>
    <mergeCell ref="B65:I65"/>
    <mergeCell ref="C40:I40"/>
    <mergeCell ref="C21:I21"/>
    <mergeCell ref="B36:I36"/>
    <mergeCell ref="C83:D83"/>
    <mergeCell ref="C23:I23"/>
    <mergeCell ref="F6:G6"/>
    <mergeCell ref="C97:D97"/>
    <mergeCell ref="B46:I46"/>
    <mergeCell ref="C17:I17"/>
    <mergeCell ref="C98:D98"/>
    <mergeCell ref="C107:D107"/>
    <mergeCell ref="C89:D89"/>
    <mergeCell ref="C19:I19"/>
    <mergeCell ref="C73:D73"/>
    <mergeCell ref="C18:I18"/>
    <mergeCell ref="C47:D47"/>
    <mergeCell ref="C102:D102"/>
    <mergeCell ref="C100:D100"/>
    <mergeCell ref="C75:D75"/>
    <mergeCell ref="C84:D84"/>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Exercice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2025-11-07T18:12:36Z</dcterms:created>
  <dcterms:modified xsi:type="dcterms:W3CDTF">2025-11-08T23:31:00Z</dcterms:modified>
</cp:coreProperties>
</file>