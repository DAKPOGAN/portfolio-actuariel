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auldakpogan/Downloads/"/>
    </mc:Choice>
  </mc:AlternateContent>
  <xr:revisionPtr revIDLastSave="0" documentId="8_{8E75642B-4F33-2F49-848D-B2491AF71608}" xr6:coauthVersionLast="47" xr6:coauthVersionMax="47" xr10:uidLastSave="{00000000-0000-0000-0000-000000000000}"/>
  <bookViews>
    <workbookView xWindow="180" yWindow="1880" windowWidth="33600" windowHeight="19460" xr2:uid="{00000000-000D-0000-FFFF-FFFF00000000}"/>
  </bookViews>
  <sheets>
    <sheet name="Exercice 2 – Options"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1" l="1"/>
  <c r="C30" i="1"/>
  <c r="E71" i="1"/>
  <c r="F71" i="1" s="1"/>
  <c r="G71" i="1" s="1"/>
  <c r="E70" i="1"/>
  <c r="F70" i="1" s="1"/>
  <c r="G70" i="1" s="1"/>
  <c r="E69" i="1"/>
  <c r="F69" i="1" s="1"/>
  <c r="G69" i="1" s="1"/>
  <c r="E68" i="1"/>
  <c r="F68" i="1" s="1"/>
  <c r="G68" i="1" s="1"/>
  <c r="F67" i="1"/>
  <c r="G67" i="1" s="1"/>
  <c r="C72" i="1" s="1"/>
  <c r="E67" i="1"/>
  <c r="C59" i="1"/>
  <c r="C55" i="1"/>
  <c r="C56" i="1" s="1"/>
  <c r="C54" i="1"/>
  <c r="C53" i="1"/>
  <c r="C52" i="1"/>
  <c r="C51" i="1"/>
  <c r="C50" i="1"/>
  <c r="N29" i="1"/>
  <c r="N30" i="1" s="1"/>
  <c r="N31" i="1" s="1"/>
  <c r="M29" i="1"/>
  <c r="M30" i="1" s="1"/>
  <c r="M31" i="1" s="1"/>
  <c r="L29" i="1"/>
  <c r="L30" i="1" s="1"/>
  <c r="L31" i="1" s="1"/>
  <c r="K29" i="1"/>
  <c r="K30" i="1" s="1"/>
  <c r="K31" i="1" s="1"/>
  <c r="J29" i="1"/>
  <c r="J30" i="1" s="1"/>
  <c r="J31" i="1" s="1"/>
  <c r="F29" i="1"/>
  <c r="F30" i="1" s="1"/>
  <c r="F31" i="1" s="1"/>
  <c r="E29" i="1"/>
  <c r="E30" i="1" s="1"/>
  <c r="E31" i="1" s="1"/>
  <c r="D29" i="1"/>
  <c r="D30" i="1" s="1"/>
  <c r="D31" i="1" s="1"/>
  <c r="C29" i="1"/>
  <c r="O28" i="1"/>
  <c r="O29" i="1" s="1"/>
  <c r="O30" i="1" s="1"/>
  <c r="O31" i="1" s="1"/>
  <c r="N28" i="1"/>
  <c r="M28" i="1"/>
  <c r="L28" i="1"/>
  <c r="K28" i="1"/>
  <c r="J28" i="1"/>
  <c r="I28" i="1"/>
  <c r="I29" i="1" s="1"/>
  <c r="I30" i="1" s="1"/>
  <c r="I31" i="1" s="1"/>
  <c r="H28" i="1"/>
  <c r="H29" i="1" s="1"/>
  <c r="H30" i="1" s="1"/>
  <c r="H31" i="1" s="1"/>
  <c r="G28" i="1"/>
  <c r="G29" i="1" s="1"/>
  <c r="G30" i="1" s="1"/>
  <c r="G31" i="1" s="1"/>
  <c r="F28" i="1"/>
  <c r="E28" i="1"/>
  <c r="D28" i="1"/>
  <c r="C28" i="1"/>
  <c r="G11" i="1"/>
  <c r="G13" i="1" l="1"/>
  <c r="G14" i="1" s="1"/>
  <c r="G12" i="1"/>
</calcChain>
</file>

<file path=xl/sharedStrings.xml><?xml version="1.0" encoding="utf-8"?>
<sst xmlns="http://schemas.openxmlformats.org/spreadsheetml/2006/main" count="87" uniqueCount="76">
  <si>
    <t>Exercice 2 – Options sur actions (Monsieur Snow)</t>
  </si>
  <si>
    <t>Énoncé synthétique : Call américain strike 3 450 €, prime 40 €, échéance 1/12/2022. Pricing Black–Scholes (fermé) et Monte‑Carlo.</t>
  </si>
  <si>
    <t>Paramètres</t>
  </si>
  <si>
    <t>KPI – Résultats clés</t>
  </si>
  <si>
    <t>S₀ (au 1/12/2021)</t>
  </si>
  <si>
    <t>K (strike)</t>
  </si>
  <si>
    <t>Prime (call)</t>
  </si>
  <si>
    <t>r (taux sans risque)</t>
  </si>
  <si>
    <t>σ (volatilité)</t>
  </si>
  <si>
    <t>T (maturité en années)</t>
  </si>
  <si>
    <t>Prix B&amp;S</t>
  </si>
  <si>
    <t>Prix Monte‑Carlo</t>
  </si>
  <si>
    <t>Écart (MC − B&amp;S)</t>
  </si>
  <si>
    <t>Décision (méthode)</t>
  </si>
  <si>
    <t>Question 1</t>
  </si>
  <si>
    <t>En juin 2022, le cours de la société se stabilise autour de 3 420 €. Analysez les deux possibilités qui s’offrent alors à M. Snow.</t>
  </si>
  <si>
    <t>Réponse</t>
  </si>
  <si>
    <t>Au moment d’exercer son option, la valeur de l’action Noël est supérieure au prix d’exercice. M. Snow a donc deux possibilités :
• Exercer son droit d’achat à 3 450 € (call in-the-money) pour réaliser immédiatement un gain ou conserver l’action si une hausse est anticipée.
• Conserver ou céder l’option avant l’échéance si la valeur temps subsiste.</t>
  </si>
  <si>
    <t>Question 2</t>
  </si>
  <si>
    <t>Dressez le tableau de l’évolution du prix du sous-jacent, de la valeur du call, du résultat pour M. Snow et du résultat pour le vendeur en fonction du prix des actions du groupe Noël (de 3 200 à 3 800 € par pas de 50).</t>
  </si>
  <si>
    <t>Le tableau payoff ci-dessous calcule la valeur du call à maturité C_T = max(S_T - K, 0). Le résultat pour l’acheteur est C_T moins la prime de 40 €, et celui du vendeur est l’opposé. On visualise ainsi les zones out-of-the-money (S_T ≤ K), at-the-money (S_T = K + 40) et in-the-money.</t>
  </si>
  <si>
    <t>Cours action S_T</t>
  </si>
  <si>
    <t>Strike K</t>
  </si>
  <si>
    <t>Valeur du call</t>
  </si>
  <si>
    <t>Résultat acheteur</t>
  </si>
  <si>
    <t>Résultat vendeur</t>
  </si>
  <si>
    <t>Question 3</t>
  </si>
  <si>
    <t>Représentez graphiquement le résultat obtenu en fonction du cours de l’action (de 3 200 à 3 800 € par pas de 50) et indiquez à quel moment la société est dans, à et en dehors de la monnaie.</t>
  </si>
  <si>
    <t>Le graphique payoff montre trois zones distinctes : hors de la monnaie lorsque le cours est inférieur à 3 450 €, à la monnaie au point de seuil 3 490 € (prix d’exercice + prime), et dans la monnaie au-delà de ce seuil. Le résultat de l’acheteur devient positif lorsque S_T dépasse 3 490 €, tandis que celui du vendeur devient négatif.</t>
  </si>
  <si>
    <t>Question 4</t>
  </si>
  <si>
    <t>M. Snow décide en parallèle d’acheter un call at-the-money (ATM) de maturité 2 ans. Le strike est de 3 450 €, le taux sans risque vaut 0,99 % et la volatilité est de 16,1 %. Donnez le modèle de Black &amp; Scholes et les deux méthodes de pricing.</t>
  </si>
  <si>
    <t>Sous le modèle de Black &amp; Scholes, dS_t = μ S_t dt + σ S_t dW_t. Deux méthodes : la formule fermée C = S_0 N(d_1) − K e^{-rT} N(d_2) et la simulation Monte-Carlo où l’on génère des trajectoires du sous-jacent, calcule les payoffs et en prend la moyenne actualisée.</t>
  </si>
  <si>
    <t>Question 5</t>
  </si>
  <si>
    <t>Calculez le prix Black &amp; Scholes de l’option avec la première méthode (N(d_1) = 0,65576 ; N(−d_1) = 0,34424 ; N(d_2) = 0,56876 ; N(−d_2) = 0,43124).</t>
  </si>
  <si>
    <t>Avec S_0 = 3 450 €, K = 3 450 €, r = 0,99 %, T = 2 ans et σ = 16,1 %, on obtient d_1 = 0,4009 et d_2 = 0,1732. Le prix du call est C = S_0 N(d_1) − K e^{-rT} N(d_2) ≈ 338,45 €.</t>
  </si>
  <si>
    <t>Calculs Black &amp; Scholes</t>
  </si>
  <si>
    <t>Paramètre</t>
  </si>
  <si>
    <t>Valeur</t>
  </si>
  <si>
    <t>S₀</t>
  </si>
  <si>
    <t>K</t>
  </si>
  <si>
    <t>r</t>
  </si>
  <si>
    <t>T</t>
  </si>
  <si>
    <t>σ</t>
  </si>
  <si>
    <t>d1</t>
  </si>
  <si>
    <t>d2</t>
  </si>
  <si>
    <t>N(d1)</t>
  </si>
  <si>
    <t>N(d2)</t>
  </si>
  <si>
    <t>Call B&amp;S</t>
  </si>
  <si>
    <t>Question 6</t>
  </si>
  <si>
    <t>Calculez le prix Black &amp; Scholes de l’option avec la deuxième méthode. On rappelle que S_{t+1} = S_t e^{(r-σ^2/2)Δt + σ√Δt Z}.</t>
  </si>
  <si>
    <t>En appliquant une simulation de Monte-Carlo avec 5 scénarios (tirages Z1,Z2), on génère les trajectoires du sous-jacent sur deux années. On calcule ensuite le payoff max(S_T-K,0) pour chaque scénario et on actualise la moyenne des payoffs au taux sans risque.</t>
  </si>
  <si>
    <t>Scénario</t>
  </si>
  <si>
    <t>Z1</t>
  </si>
  <si>
    <t>Z2</t>
  </si>
  <si>
    <t>S1</t>
  </si>
  <si>
    <t>S2</t>
  </si>
  <si>
    <t>Payoff</t>
  </si>
  <si>
    <t>Prix Monte-Carlo</t>
  </si>
  <si>
    <t>Question 7</t>
  </si>
  <si>
    <t>Comparez les résultats obtenus avec les deux méthodes. S’ils sont différents, expliquez pourquoi et expliquez quelle méthode vous retiendriez.</t>
  </si>
  <si>
    <t>Le prix obtenu par la formule fermée (338,45 €) est supérieur à celui issu de la simulation Monte-Carlo (134 €). L’écart provient du nombre très limité de scénarios retenus : la méthode Monte-Carlo converge vers le prix théorique lorsque l’on augmente considérablement le nombre de simulations. Dans la pratique, on privilégie la formule fermée de Black &amp; Scholes ou une simulation fine pour des options exotiques.</t>
  </si>
  <si>
    <t>Question 8</t>
  </si>
  <si>
    <t>En tant qu’assureur, M. Snow souhaite désormais se couvrir financièrement face à un choc sur les actions supérieur à 30 % sur 1 an. Quel est le but de cette couverture financière pour la compagnie d’assurance vie ?</t>
  </si>
  <si>
    <t>L’objectif est de réduire l’impact d’une forte baisse du marché actions sur les capitaux propres et sur le Solvency Capital Requirement (SCR). Une couverture optionnelle diminue l’augmentation du SCR en cas de choc et améliore ainsi le ratio de solvabilité de la compagnie d’assurance vie.</t>
  </si>
  <si>
    <t>Question 9</t>
  </si>
  <si>
    <t>Avant de penser aux options comme couverture financière, quelles solutions s’offrent à M. Snow pour réduire le risque de la compagnie d’assurance ?</t>
  </si>
  <si>
    <t>Deux solutions classiques : réduire l’exposition actions en vendant une partie du portefeuille, ou acheter un ETF inverse qui réplique l’évolution inverse de l’indice afin de compenser les pertes en cas de baisse des marchés.</t>
  </si>
  <si>
    <t>Question 10</t>
  </si>
  <si>
    <t>Selon vous, que doit-il faire : acheter ou vendre une option ? Et quel type d’option ? Expliquez votre raisonnement.</t>
  </si>
  <si>
    <t>Pour se protéger contre une baisse des actions, M. Snow doit acheter une option de vente (put). Le payoff du put est positif lorsque le cours du sous-jacent baisse en dessous du strike, ce qui compense la baisse du portefeuille.</t>
  </si>
  <si>
    <t>Question 11</t>
  </si>
  <si>
    <t>Vous trouverez dans la slide suivante un certain nombre d’options ayant des caractéristiques différentes. Quelle option choisiriez-vous et pourquoi ?</t>
  </si>
  <si>
    <t>Pour couvrir un choc supérieur à 30 % sur un horizon d’un an, on choisira d’acheter le put de maturité 1 an avec un strike égal à 70 % du sous-jacent. Ce put devient in-the-money lorsque la valeur du sous-jacent baisse de plus de 30 %, et sa prime reste raisonnable par rapport à la protection obtenue.</t>
  </si>
  <si>
    <t>Question 12</t>
  </si>
  <si>
    <t>Pour pallier cette décision coûteuse, que doit faire M. Snow ? Présentez deux solutions possibles.</t>
  </si>
  <si>
    <t>Une stratégie de collar peut réduire le coût : acheter un put pour se couvrir et financer la prime en vendant un call.
1. Solution 1 : acheter deux calls de maturité 6 mois avec un strike de 136 % du sous-jacent pour capter une partie de la hausse tout en recevant une prime équivalente à celle du put.
2. Solution 2 : acheter un call de maturité 1 an avec un strike de 151 % du sous-jacent, qui réduit également le coût de la couverture. La vente du call plafonne les gains mais diminue la prime nette.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</si>
</sst>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FFFFFF"/>
      <name val="Calibri"/>
      <family val="2"/>
    </font>
    <font>
      <i/>
      <sz val="12"/>
      <color rgb="FFFFFFFF"/>
      <name val="Calibri"/>
      <family val="2"/>
    </font>
    <font>
      <b/>
      <sz val="12"/>
      <color rgb="FFFFFFFF"/>
      <name val="Calibri"/>
      <family val="2"/>
    </font>
    <font>
      <b/>
      <sz val="11"/>
      <name val="Calibri"/>
      <family val="2"/>
    </font>
    <font>
      <sz val="11"/>
      <name val="Calibri"/>
      <family val="2"/>
    </font>
    <font>
      <i/>
      <sz val="11"/>
      <name val="Calibri"/>
      <family val="2"/>
    </font>
  </fonts>
  <fills count="9">
    <fill>
      <patternFill patternType="none"/>
    </fill>
    <fill>
      <patternFill patternType="gray125"/>
    </fill>
    <fill>
      <patternFill patternType="solid">
        <fgColor rgb="FF0F52BA"/>
      </patternFill>
    </fill>
    <fill>
      <patternFill patternType="solid">
        <fgColor rgb="FF345CAD"/>
      </patternFill>
    </fill>
    <fill>
      <patternFill patternType="solid">
        <fgColor rgb="FF6A5ACD"/>
      </patternFill>
    </fill>
    <fill>
      <patternFill patternType="solid">
        <fgColor rgb="FFF2F2F2"/>
      </patternFill>
    </fill>
    <fill>
      <patternFill patternType="solid">
        <fgColor rgb="FFFFFFFF"/>
      </patternFill>
    </fill>
    <fill>
      <patternFill patternType="solid">
        <fgColor rgb="FFEEE8FA"/>
      </patternFill>
    </fill>
    <fill>
      <patternFill patternType="solid">
        <fgColor rgb="FFE1F5F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4" fillId="5" borderId="1" xfId="0" applyFont="1" applyFill="1" applyBorder="1"/>
    <xf numFmtId="0" fontId="5" fillId="6" borderId="1" xfId="0" applyFont="1" applyFill="1" applyBorder="1"/>
    <xf numFmtId="0" fontId="3" fillId="4" borderId="0" xfId="0" applyFont="1" applyFill="1" applyAlignment="1">
      <alignment horizontal="left"/>
    </xf>
    <xf numFmtId="0" fontId="0" fillId="0" borderId="0" xfId="0"/>
    <xf numFmtId="0" fontId="3" fillId="4" borderId="0" xfId="0" applyFont="1" applyFill="1"/>
    <xf numFmtId="0" fontId="6" fillId="7" borderId="0" xfId="0" applyFont="1" applyFill="1" applyAlignment="1">
      <alignment wrapText="1"/>
    </xf>
    <xf numFmtId="0" fontId="5" fillId="8" borderId="0" xfId="0" applyFont="1" applyFill="1" applyAlignment="1">
      <alignment wrapText="1"/>
    </xf>
    <xf numFmtId="0" fontId="2" fillId="3"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102"/>
  <sheetViews>
    <sheetView tabSelected="1" workbookViewId="0">
      <selection activeCell="I10" sqref="I10"/>
    </sheetView>
  </sheetViews>
  <sheetFormatPr baseColWidth="10" defaultColWidth="8.83203125" defaultRowHeight="15" x14ac:dyDescent="0.2"/>
  <cols>
    <col min="1" max="1" width="5" customWidth="1"/>
    <col min="2" max="2" width="35" customWidth="1"/>
    <col min="3" max="5" width="20" customWidth="1"/>
    <col min="6" max="6" width="25" customWidth="1"/>
    <col min="7" max="12" width="20" customWidth="1"/>
  </cols>
  <sheetData>
    <row r="1" spans="2:12" ht="21" x14ac:dyDescent="0.25">
      <c r="B1" s="9" t="s">
        <v>0</v>
      </c>
      <c r="C1" s="4"/>
      <c r="D1" s="4"/>
      <c r="E1" s="4"/>
      <c r="F1" s="4"/>
      <c r="G1" s="4"/>
      <c r="H1" s="4"/>
      <c r="I1" s="4"/>
      <c r="J1" s="4"/>
      <c r="K1" s="4"/>
      <c r="L1" s="4"/>
    </row>
    <row r="2" spans="2:12" ht="16" x14ac:dyDescent="0.2">
      <c r="B2" s="8" t="s">
        <v>1</v>
      </c>
      <c r="C2" s="4"/>
      <c r="D2" s="4"/>
      <c r="E2" s="4"/>
      <c r="F2" s="4"/>
      <c r="G2" s="4"/>
      <c r="H2" s="4"/>
      <c r="I2" s="4"/>
      <c r="J2" s="4"/>
      <c r="K2" s="4"/>
      <c r="L2" s="4"/>
    </row>
    <row r="4" spans="2:12" ht="16" x14ac:dyDescent="0.2">
      <c r="B4" s="5" t="s">
        <v>2</v>
      </c>
      <c r="C4" s="4"/>
      <c r="F4" s="5" t="s">
        <v>3</v>
      </c>
      <c r="G4" s="4"/>
    </row>
    <row r="5" spans="2:12" x14ac:dyDescent="0.2">
      <c r="B5" s="1" t="s">
        <v>4</v>
      </c>
      <c r="C5" s="2">
        <v>3530</v>
      </c>
    </row>
    <row r="6" spans="2:12" x14ac:dyDescent="0.2">
      <c r="B6" s="1" t="s">
        <v>5</v>
      </c>
      <c r="C6" s="2">
        <v>3450</v>
      </c>
    </row>
    <row r="7" spans="2:12" x14ac:dyDescent="0.2">
      <c r="B7" s="1" t="s">
        <v>6</v>
      </c>
      <c r="C7" s="2">
        <v>40</v>
      </c>
    </row>
    <row r="8" spans="2:12" x14ac:dyDescent="0.2">
      <c r="B8" s="1" t="s">
        <v>7</v>
      </c>
      <c r="C8" s="2">
        <v>9.9000000000000008E-3</v>
      </c>
    </row>
    <row r="9" spans="2:12" x14ac:dyDescent="0.2">
      <c r="B9" s="1" t="s">
        <v>8</v>
      </c>
      <c r="C9" s="2">
        <v>0.161</v>
      </c>
    </row>
    <row r="10" spans="2:12" x14ac:dyDescent="0.2">
      <c r="B10" s="1" t="s">
        <v>9</v>
      </c>
      <c r="C10" s="2">
        <v>2</v>
      </c>
    </row>
    <row r="11" spans="2:12" x14ac:dyDescent="0.2">
      <c r="F11" s="1" t="s">
        <v>10</v>
      </c>
      <c r="G11" s="2">
        <f>C59</f>
        <v>0</v>
      </c>
    </row>
    <row r="12" spans="2:12" x14ac:dyDescent="0.2">
      <c r="F12" s="1" t="s">
        <v>11</v>
      </c>
      <c r="G12" s="2">
        <f>C72</f>
        <v>152.4461953820055</v>
      </c>
    </row>
    <row r="13" spans="2:12" x14ac:dyDescent="0.2">
      <c r="F13" s="1" t="s">
        <v>12</v>
      </c>
      <c r="G13" s="2">
        <f>C72-C59</f>
        <v>152.4461953820055</v>
      </c>
    </row>
    <row r="14" spans="2:12" x14ac:dyDescent="0.2">
      <c r="F14" s="1" t="s">
        <v>13</v>
      </c>
      <c r="G14" s="2" t="str">
        <f>IF(G13&gt;0,"Monte-Carlo &gt; B&amp;S","B&amp;S ≥ Monte-Carlo")</f>
        <v>Monte-Carlo &gt; B&amp;S</v>
      </c>
    </row>
    <row r="17" spans="2:15" ht="16" x14ac:dyDescent="0.2">
      <c r="B17" s="3" t="s">
        <v>14</v>
      </c>
      <c r="C17" s="4"/>
      <c r="D17" s="4"/>
      <c r="E17" s="4"/>
      <c r="F17" s="4"/>
      <c r="G17" s="4"/>
      <c r="H17" s="4"/>
      <c r="I17" s="4"/>
      <c r="J17" s="4"/>
      <c r="K17" s="4"/>
      <c r="L17" s="4"/>
    </row>
    <row r="18" spans="2:15" x14ac:dyDescent="0.2">
      <c r="B18" s="6" t="s">
        <v>15</v>
      </c>
      <c r="C18" s="4"/>
      <c r="D18" s="4"/>
      <c r="E18" s="4"/>
      <c r="F18" s="4"/>
      <c r="G18" s="4"/>
      <c r="H18" s="4"/>
      <c r="I18" s="4"/>
      <c r="J18" s="4"/>
      <c r="K18" s="4"/>
      <c r="L18" s="4"/>
    </row>
    <row r="19" spans="2:15" ht="16" x14ac:dyDescent="0.2">
      <c r="B19" s="3" t="s">
        <v>16</v>
      </c>
      <c r="C19" s="4"/>
      <c r="D19" s="4"/>
      <c r="E19" s="4"/>
      <c r="F19" s="4"/>
      <c r="G19" s="4"/>
      <c r="H19" s="4"/>
      <c r="I19" s="4"/>
      <c r="J19" s="4"/>
      <c r="K19" s="4"/>
      <c r="L19" s="4"/>
    </row>
    <row r="20" spans="2:15" x14ac:dyDescent="0.2">
      <c r="B20" s="7" t="s">
        <v>17</v>
      </c>
      <c r="C20" s="4"/>
      <c r="D20" s="4"/>
      <c r="E20" s="4"/>
      <c r="F20" s="4"/>
      <c r="G20" s="4"/>
      <c r="H20" s="4"/>
      <c r="I20" s="4"/>
      <c r="J20" s="4"/>
      <c r="K20" s="4"/>
      <c r="L20" s="4"/>
    </row>
    <row r="22" spans="2:15" ht="16" x14ac:dyDescent="0.2">
      <c r="B22" s="3" t="s">
        <v>18</v>
      </c>
      <c r="C22" s="4"/>
      <c r="D22" s="4"/>
      <c r="E22" s="4"/>
      <c r="F22" s="4"/>
      <c r="G22" s="4"/>
      <c r="H22" s="4"/>
      <c r="I22" s="4"/>
      <c r="J22" s="4"/>
      <c r="K22" s="4"/>
      <c r="L22" s="4"/>
    </row>
    <row r="23" spans="2:15" x14ac:dyDescent="0.2">
      <c r="B23" s="6" t="s">
        <v>19</v>
      </c>
      <c r="C23" s="4"/>
      <c r="D23" s="4"/>
      <c r="E23" s="4"/>
      <c r="F23" s="4"/>
      <c r="G23" s="4"/>
      <c r="H23" s="4"/>
      <c r="I23" s="4"/>
      <c r="J23" s="4"/>
      <c r="K23" s="4"/>
      <c r="L23" s="4"/>
    </row>
    <row r="24" spans="2:15" ht="16" x14ac:dyDescent="0.2">
      <c r="B24" s="3" t="s">
        <v>16</v>
      </c>
      <c r="C24" s="4"/>
      <c r="D24" s="4"/>
      <c r="E24" s="4"/>
      <c r="F24" s="4"/>
      <c r="G24" s="4"/>
      <c r="H24" s="4"/>
      <c r="I24" s="4"/>
      <c r="J24" s="4"/>
      <c r="K24" s="4"/>
      <c r="L24" s="4"/>
    </row>
    <row r="25" spans="2:15" x14ac:dyDescent="0.2">
      <c r="B25" s="7" t="s">
        <v>20</v>
      </c>
      <c r="C25" s="4"/>
      <c r="D25" s="4"/>
      <c r="E25" s="4"/>
      <c r="F25" s="4"/>
      <c r="G25" s="4"/>
      <c r="H25" s="4"/>
      <c r="I25" s="4"/>
      <c r="J25" s="4"/>
      <c r="K25" s="4"/>
      <c r="L25" s="4"/>
    </row>
    <row r="27" spans="2:15" x14ac:dyDescent="0.2">
      <c r="B27" s="1" t="s">
        <v>21</v>
      </c>
      <c r="C27" s="2">
        <v>3200</v>
      </c>
      <c r="D27" s="2">
        <v>3250</v>
      </c>
      <c r="E27" s="2">
        <v>3300</v>
      </c>
      <c r="F27" s="2">
        <v>3350</v>
      </c>
      <c r="G27" s="2">
        <v>3400</v>
      </c>
      <c r="H27" s="2">
        <v>3450</v>
      </c>
      <c r="I27" s="2">
        <v>3500</v>
      </c>
      <c r="J27" s="2">
        <v>3550</v>
      </c>
      <c r="K27" s="2">
        <v>3600</v>
      </c>
      <c r="L27" s="2">
        <v>3650</v>
      </c>
      <c r="M27" s="2">
        <v>3700</v>
      </c>
      <c r="N27" s="2">
        <v>3750</v>
      </c>
      <c r="O27" s="2">
        <v>3800</v>
      </c>
    </row>
    <row r="28" spans="2:15" x14ac:dyDescent="0.2">
      <c r="B28" s="1" t="s">
        <v>22</v>
      </c>
      <c r="C28" s="2">
        <f t="shared" ref="C28:O28" si="0">$C$6</f>
        <v>3450</v>
      </c>
      <c r="D28" s="2">
        <f t="shared" si="0"/>
        <v>3450</v>
      </c>
      <c r="E28" s="2">
        <f t="shared" si="0"/>
        <v>3450</v>
      </c>
      <c r="F28" s="2">
        <f t="shared" si="0"/>
        <v>3450</v>
      </c>
      <c r="G28" s="2">
        <f t="shared" si="0"/>
        <v>3450</v>
      </c>
      <c r="H28" s="2">
        <f t="shared" si="0"/>
        <v>3450</v>
      </c>
      <c r="I28" s="2">
        <f t="shared" si="0"/>
        <v>3450</v>
      </c>
      <c r="J28" s="2">
        <f t="shared" si="0"/>
        <v>3450</v>
      </c>
      <c r="K28" s="2">
        <f t="shared" si="0"/>
        <v>3450</v>
      </c>
      <c r="L28" s="2">
        <f t="shared" si="0"/>
        <v>3450</v>
      </c>
      <c r="M28" s="2">
        <f t="shared" si="0"/>
        <v>3450</v>
      </c>
      <c r="N28" s="2">
        <f t="shared" si="0"/>
        <v>3450</v>
      </c>
      <c r="O28" s="2">
        <f t="shared" si="0"/>
        <v>3450</v>
      </c>
    </row>
    <row r="29" spans="2:15" x14ac:dyDescent="0.2">
      <c r="B29" s="1" t="s">
        <v>23</v>
      </c>
      <c r="C29" s="2">
        <f t="shared" ref="C29:O29" si="1">MAX(C27-C28,0)</f>
        <v>0</v>
      </c>
      <c r="D29" s="2">
        <f t="shared" si="1"/>
        <v>0</v>
      </c>
      <c r="E29" s="2">
        <f t="shared" si="1"/>
        <v>0</v>
      </c>
      <c r="F29" s="2">
        <f t="shared" si="1"/>
        <v>0</v>
      </c>
      <c r="G29" s="2">
        <f t="shared" si="1"/>
        <v>0</v>
      </c>
      <c r="H29" s="2">
        <f t="shared" si="1"/>
        <v>0</v>
      </c>
      <c r="I29" s="2">
        <f t="shared" si="1"/>
        <v>50</v>
      </c>
      <c r="J29" s="2">
        <f t="shared" si="1"/>
        <v>100</v>
      </c>
      <c r="K29" s="2">
        <f t="shared" si="1"/>
        <v>150</v>
      </c>
      <c r="L29" s="2">
        <f t="shared" si="1"/>
        <v>200</v>
      </c>
      <c r="M29" s="2">
        <f t="shared" si="1"/>
        <v>250</v>
      </c>
      <c r="N29" s="2">
        <f t="shared" si="1"/>
        <v>300</v>
      </c>
      <c r="O29" s="2">
        <f t="shared" si="1"/>
        <v>350</v>
      </c>
    </row>
    <row r="30" spans="2:15" x14ac:dyDescent="0.2">
      <c r="B30" s="1" t="s">
        <v>24</v>
      </c>
      <c r="C30" s="2">
        <f>C29-$C$7</f>
        <v>-40</v>
      </c>
      <c r="D30" s="2">
        <f t="shared" ref="C30:O30" si="2">D29-$C$7</f>
        <v>-40</v>
      </c>
      <c r="E30" s="2">
        <f t="shared" si="2"/>
        <v>-40</v>
      </c>
      <c r="F30" s="2">
        <f t="shared" si="2"/>
        <v>-40</v>
      </c>
      <c r="G30" s="2">
        <f t="shared" si="2"/>
        <v>-40</v>
      </c>
      <c r="H30" s="2">
        <f t="shared" si="2"/>
        <v>-40</v>
      </c>
      <c r="I30" s="2">
        <f t="shared" si="2"/>
        <v>10</v>
      </c>
      <c r="J30" s="2">
        <f t="shared" si="2"/>
        <v>60</v>
      </c>
      <c r="K30" s="2">
        <f t="shared" si="2"/>
        <v>110</v>
      </c>
      <c r="L30" s="2">
        <f t="shared" si="2"/>
        <v>160</v>
      </c>
      <c r="M30" s="2">
        <f t="shared" si="2"/>
        <v>210</v>
      </c>
      <c r="N30" s="2">
        <f t="shared" si="2"/>
        <v>260</v>
      </c>
      <c r="O30" s="2">
        <f t="shared" si="2"/>
        <v>310</v>
      </c>
    </row>
    <row r="31" spans="2:15" x14ac:dyDescent="0.2">
      <c r="B31" s="1" t="s">
        <v>25</v>
      </c>
      <c r="C31" s="2">
        <f>-C30</f>
        <v>40</v>
      </c>
      <c r="D31" s="2">
        <f t="shared" ref="C31:O31" si="3">-D30</f>
        <v>40</v>
      </c>
      <c r="E31" s="2">
        <f t="shared" si="3"/>
        <v>40</v>
      </c>
      <c r="F31" s="2">
        <f t="shared" si="3"/>
        <v>40</v>
      </c>
      <c r="G31" s="2">
        <f t="shared" si="3"/>
        <v>40</v>
      </c>
      <c r="H31" s="2">
        <f t="shared" si="3"/>
        <v>40</v>
      </c>
      <c r="I31" s="2">
        <f t="shared" si="3"/>
        <v>-10</v>
      </c>
      <c r="J31" s="2">
        <f t="shared" si="3"/>
        <v>-60</v>
      </c>
      <c r="K31" s="2">
        <f t="shared" si="3"/>
        <v>-110</v>
      </c>
      <c r="L31" s="2">
        <f t="shared" si="3"/>
        <v>-160</v>
      </c>
      <c r="M31" s="2">
        <f t="shared" si="3"/>
        <v>-210</v>
      </c>
      <c r="N31" s="2">
        <f t="shared" si="3"/>
        <v>-260</v>
      </c>
      <c r="O31" s="2">
        <f t="shared" si="3"/>
        <v>-310</v>
      </c>
    </row>
    <row r="33" spans="2:12" ht="16" x14ac:dyDescent="0.2">
      <c r="B33" s="3" t="s">
        <v>26</v>
      </c>
      <c r="C33" s="4"/>
      <c r="D33" s="4"/>
      <c r="E33" s="4"/>
      <c r="F33" s="4"/>
      <c r="G33" s="4"/>
      <c r="H33" s="4"/>
      <c r="I33" s="4"/>
      <c r="J33" s="4"/>
      <c r="K33" s="4"/>
      <c r="L33" s="4"/>
    </row>
    <row r="34" spans="2:12" x14ac:dyDescent="0.2">
      <c r="B34" s="6" t="s">
        <v>27</v>
      </c>
      <c r="C34" s="4"/>
      <c r="D34" s="4"/>
      <c r="E34" s="4"/>
      <c r="F34" s="4"/>
      <c r="G34" s="4"/>
      <c r="H34" s="4"/>
      <c r="I34" s="4"/>
      <c r="J34" s="4"/>
      <c r="K34" s="4"/>
      <c r="L34" s="4"/>
    </row>
    <row r="35" spans="2:12" ht="16" x14ac:dyDescent="0.2">
      <c r="B35" s="3" t="s">
        <v>16</v>
      </c>
      <c r="C35" s="4"/>
      <c r="D35" s="4"/>
      <c r="E35" s="4"/>
      <c r="F35" s="4"/>
      <c r="G35" s="4"/>
      <c r="H35" s="4"/>
      <c r="I35" s="4"/>
      <c r="J35" s="4"/>
      <c r="K35" s="4"/>
      <c r="L35" s="4"/>
    </row>
    <row r="36" spans="2:12" x14ac:dyDescent="0.2">
      <c r="B36" s="7" t="s">
        <v>28</v>
      </c>
      <c r="C36" s="4"/>
      <c r="D36" s="4"/>
      <c r="E36" s="4"/>
      <c r="F36" s="4"/>
      <c r="G36" s="4"/>
      <c r="H36" s="4"/>
      <c r="I36" s="4"/>
      <c r="J36" s="4"/>
      <c r="K36" s="4"/>
      <c r="L36" s="4"/>
    </row>
    <row r="38" spans="2:12" ht="16" x14ac:dyDescent="0.2">
      <c r="B38" s="3" t="s">
        <v>29</v>
      </c>
      <c r="C38" s="4"/>
      <c r="D38" s="4"/>
      <c r="E38" s="4"/>
      <c r="F38" s="4"/>
      <c r="G38" s="4"/>
      <c r="H38" s="4"/>
      <c r="I38" s="4"/>
      <c r="J38" s="4"/>
      <c r="K38" s="4"/>
      <c r="L38" s="4"/>
    </row>
    <row r="39" spans="2:12" x14ac:dyDescent="0.2">
      <c r="B39" s="6" t="s">
        <v>30</v>
      </c>
      <c r="C39" s="4"/>
      <c r="D39" s="4"/>
      <c r="E39" s="4"/>
      <c r="F39" s="4"/>
      <c r="G39" s="4"/>
      <c r="H39" s="4"/>
      <c r="I39" s="4"/>
      <c r="J39" s="4"/>
      <c r="K39" s="4"/>
      <c r="L39" s="4"/>
    </row>
    <row r="40" spans="2:12" ht="16" x14ac:dyDescent="0.2">
      <c r="B40" s="3" t="s">
        <v>16</v>
      </c>
      <c r="C40" s="4"/>
      <c r="D40" s="4"/>
      <c r="E40" s="4"/>
      <c r="F40" s="4"/>
      <c r="G40" s="4"/>
      <c r="H40" s="4"/>
      <c r="I40" s="4"/>
      <c r="J40" s="4"/>
      <c r="K40" s="4"/>
      <c r="L40" s="4"/>
    </row>
    <row r="41" spans="2:12" x14ac:dyDescent="0.2">
      <c r="B41" s="7" t="s">
        <v>31</v>
      </c>
      <c r="C41" s="4"/>
      <c r="D41" s="4"/>
      <c r="E41" s="4"/>
      <c r="F41" s="4"/>
      <c r="G41" s="4"/>
      <c r="H41" s="4"/>
      <c r="I41" s="4"/>
      <c r="J41" s="4"/>
      <c r="K41" s="4"/>
      <c r="L41" s="4"/>
    </row>
    <row r="43" spans="2:12" ht="16" x14ac:dyDescent="0.2">
      <c r="B43" s="3" t="s">
        <v>32</v>
      </c>
      <c r="C43" s="4"/>
      <c r="D43" s="4"/>
      <c r="E43" s="4"/>
      <c r="F43" s="4"/>
      <c r="G43" s="4"/>
      <c r="H43" s="4"/>
      <c r="I43" s="4"/>
      <c r="J43" s="4"/>
      <c r="K43" s="4"/>
      <c r="L43" s="4"/>
    </row>
    <row r="44" spans="2:12" x14ac:dyDescent="0.2">
      <c r="B44" s="6" t="s">
        <v>33</v>
      </c>
      <c r="C44" s="4"/>
      <c r="D44" s="4"/>
      <c r="E44" s="4"/>
      <c r="F44" s="4"/>
      <c r="G44" s="4"/>
      <c r="H44" s="4"/>
      <c r="I44" s="4"/>
      <c r="J44" s="4"/>
      <c r="K44" s="4"/>
      <c r="L44" s="4"/>
    </row>
    <row r="45" spans="2:12" ht="16" x14ac:dyDescent="0.2">
      <c r="B45" s="3" t="s">
        <v>16</v>
      </c>
      <c r="C45" s="4"/>
      <c r="D45" s="4"/>
      <c r="E45" s="4"/>
      <c r="F45" s="4"/>
      <c r="G45" s="4"/>
      <c r="H45" s="4"/>
      <c r="I45" s="4"/>
      <c r="J45" s="4"/>
      <c r="K45" s="4"/>
      <c r="L45" s="4"/>
    </row>
    <row r="46" spans="2:12" x14ac:dyDescent="0.2">
      <c r="B46" s="7" t="s">
        <v>34</v>
      </c>
      <c r="C46" s="4"/>
      <c r="D46" s="4"/>
      <c r="E46" s="4"/>
      <c r="F46" s="4"/>
      <c r="G46" s="4"/>
      <c r="H46" s="4"/>
      <c r="I46" s="4"/>
      <c r="J46" s="4"/>
      <c r="K46" s="4"/>
      <c r="L46" s="4"/>
    </row>
    <row r="48" spans="2:12" ht="16" x14ac:dyDescent="0.2">
      <c r="B48" s="5" t="s">
        <v>35</v>
      </c>
      <c r="C48" s="4"/>
      <c r="D48" s="4"/>
      <c r="E48" s="4"/>
      <c r="F48" s="4"/>
      <c r="G48" s="4"/>
      <c r="H48" s="4"/>
      <c r="I48" s="4"/>
      <c r="J48" s="4"/>
      <c r="K48" s="4"/>
      <c r="L48" s="4"/>
    </row>
    <row r="49" spans="2:12" x14ac:dyDescent="0.2">
      <c r="B49" s="1" t="s">
        <v>36</v>
      </c>
      <c r="C49" s="1" t="s">
        <v>37</v>
      </c>
    </row>
    <row r="50" spans="2:12" x14ac:dyDescent="0.2">
      <c r="B50" s="1" t="s">
        <v>38</v>
      </c>
      <c r="C50" s="2">
        <f>$C$5</f>
        <v>3530</v>
      </c>
    </row>
    <row r="51" spans="2:12" x14ac:dyDescent="0.2">
      <c r="B51" s="1" t="s">
        <v>39</v>
      </c>
      <c r="C51" s="2">
        <f>$C$6</f>
        <v>3450</v>
      </c>
    </row>
    <row r="52" spans="2:12" x14ac:dyDescent="0.2">
      <c r="B52" s="1" t="s">
        <v>40</v>
      </c>
      <c r="C52" s="2">
        <f>$C$8</f>
        <v>9.9000000000000008E-3</v>
      </c>
    </row>
    <row r="53" spans="2:12" x14ac:dyDescent="0.2">
      <c r="B53" s="1" t="s">
        <v>41</v>
      </c>
      <c r="C53" s="2">
        <f>$C$10</f>
        <v>2</v>
      </c>
    </row>
    <row r="54" spans="2:12" x14ac:dyDescent="0.2">
      <c r="B54" s="1" t="s">
        <v>42</v>
      </c>
      <c r="C54" s="2">
        <f>$C$9</f>
        <v>0.161</v>
      </c>
    </row>
    <row r="55" spans="2:12" x14ac:dyDescent="0.2">
      <c r="B55" s="1" t="s">
        <v>43</v>
      </c>
      <c r="C55" s="2">
        <f>(LN($C$5/$C$6)+($C$8+0.5*$C$9^2)*$C$10)/($C$9*SQRT($C$10))</f>
        <v>0.30148503333396481</v>
      </c>
    </row>
    <row r="56" spans="2:12" x14ac:dyDescent="0.2">
      <c r="B56" s="1" t="s">
        <v>44</v>
      </c>
      <c r="C56" s="2">
        <f>C55-$C$9*SQRT($C$10)</f>
        <v>7.3796649791896485E-2</v>
      </c>
    </row>
    <row r="57" spans="2:12" x14ac:dyDescent="0.2">
      <c r="B57" s="1" t="s">
        <v>45</v>
      </c>
      <c r="C57" s="2"/>
    </row>
    <row r="58" spans="2:12" x14ac:dyDescent="0.2">
      <c r="B58" s="1" t="s">
        <v>46</v>
      </c>
      <c r="C58" s="2"/>
    </row>
    <row r="59" spans="2:12" x14ac:dyDescent="0.2">
      <c r="B59" s="1" t="s">
        <v>47</v>
      </c>
      <c r="C59" s="2">
        <f>$C$5*C57 - $C$6*EXP(-$C$8*$C$10)*C58</f>
        <v>0</v>
      </c>
    </row>
    <row r="61" spans="2:12" ht="16" x14ac:dyDescent="0.2">
      <c r="B61" s="3" t="s">
        <v>48</v>
      </c>
      <c r="C61" s="4"/>
      <c r="D61" s="4"/>
      <c r="E61" s="4"/>
      <c r="F61" s="4"/>
      <c r="G61" s="4"/>
      <c r="H61" s="4"/>
      <c r="I61" s="4"/>
      <c r="J61" s="4"/>
      <c r="K61" s="4"/>
      <c r="L61" s="4"/>
    </row>
    <row r="62" spans="2:12" x14ac:dyDescent="0.2">
      <c r="B62" s="6" t="s">
        <v>49</v>
      </c>
      <c r="C62" s="4"/>
      <c r="D62" s="4"/>
      <c r="E62" s="4"/>
      <c r="F62" s="4"/>
      <c r="G62" s="4"/>
      <c r="H62" s="4"/>
      <c r="I62" s="4"/>
      <c r="J62" s="4"/>
      <c r="K62" s="4"/>
      <c r="L62" s="4"/>
    </row>
    <row r="63" spans="2:12" ht="16" x14ac:dyDescent="0.2">
      <c r="B63" s="3" t="s">
        <v>16</v>
      </c>
      <c r="C63" s="4"/>
      <c r="D63" s="4"/>
      <c r="E63" s="4"/>
      <c r="F63" s="4"/>
      <c r="G63" s="4"/>
      <c r="H63" s="4"/>
      <c r="I63" s="4"/>
      <c r="J63" s="4"/>
      <c r="K63" s="4"/>
      <c r="L63" s="4"/>
    </row>
    <row r="64" spans="2:12" x14ac:dyDescent="0.2">
      <c r="B64" s="7" t="s">
        <v>50</v>
      </c>
      <c r="C64" s="4"/>
      <c r="D64" s="4"/>
      <c r="E64" s="4"/>
      <c r="F64" s="4"/>
      <c r="G64" s="4"/>
      <c r="H64" s="4"/>
      <c r="I64" s="4"/>
      <c r="J64" s="4"/>
      <c r="K64" s="4"/>
      <c r="L64" s="4"/>
    </row>
    <row r="66" spans="2:12" x14ac:dyDescent="0.2">
      <c r="B66" s="1" t="s">
        <v>51</v>
      </c>
      <c r="C66" s="1" t="s">
        <v>52</v>
      </c>
      <c r="D66" s="1" t="s">
        <v>53</v>
      </c>
      <c r="E66" s="1" t="s">
        <v>54</v>
      </c>
      <c r="F66" s="1" t="s">
        <v>55</v>
      </c>
      <c r="G66" s="1" t="s">
        <v>56</v>
      </c>
    </row>
    <row r="67" spans="2:12" x14ac:dyDescent="0.2">
      <c r="B67" s="2">
        <v>1</v>
      </c>
      <c r="C67" s="2">
        <v>-0.35538743</v>
      </c>
      <c r="D67" s="2">
        <v>-1.2110397900000001</v>
      </c>
      <c r="E67" s="2">
        <f>$C$5*EXP(($C$8-0.5*$C$9^2)*1 + $C$9*C67*SQRT(1))</f>
        <v>3323.5051521458922</v>
      </c>
      <c r="F67" s="2">
        <f>E67*EXP(($C$8-0.5*$C$9^2)*1 + $C$9*D67*SQRT(1))</f>
        <v>2726.4000841703651</v>
      </c>
      <c r="G67" s="2">
        <f>MAX(F67-$C$6,0)</f>
        <v>0</v>
      </c>
    </row>
    <row r="68" spans="2:12" x14ac:dyDescent="0.2">
      <c r="B68" s="2">
        <v>2</v>
      </c>
      <c r="C68" s="2">
        <v>0.2288452</v>
      </c>
      <c r="D68" s="2">
        <v>0.92909067000000001</v>
      </c>
      <c r="E68" s="2">
        <f>$C$5*EXP(($C$8-0.5*$C$9^2)*1 + $C$9*C68*SQRT(1))</f>
        <v>3651.2933531018361</v>
      </c>
      <c r="F68" s="2">
        <f>E68*EXP(($C$8-0.5*$C$9^2)*1 + $C$9*D68*SQRT(1))</f>
        <v>4227.473553792247</v>
      </c>
      <c r="G68" s="2">
        <f>MAX(F68-$C$6,0)</f>
        <v>777.473553792247</v>
      </c>
    </row>
    <row r="69" spans="2:12" x14ac:dyDescent="0.2">
      <c r="B69" s="2">
        <v>3</v>
      </c>
      <c r="C69" s="2">
        <v>-2.1214907699999999</v>
      </c>
      <c r="D69" s="2">
        <v>-0.52393606000000004</v>
      </c>
      <c r="E69" s="2">
        <f>$C$5*EXP(($C$8-0.5*$C$9^2)*1 + $C$9*C69*SQRT(1))</f>
        <v>2500.9667496254197</v>
      </c>
      <c r="F69" s="2">
        <f>E69*EXP(($C$8-0.5*$C$9^2)*1 + $C$9*D69*SQRT(1))</f>
        <v>2291.6295337878191</v>
      </c>
      <c r="G69" s="2">
        <f>MAX(F69-$C$6,0)</f>
        <v>0</v>
      </c>
    </row>
    <row r="70" spans="2:12" x14ac:dyDescent="0.2">
      <c r="B70" s="2">
        <v>4</v>
      </c>
      <c r="C70" s="2">
        <v>-1.3810836</v>
      </c>
      <c r="D70" s="2">
        <v>0.86802305000000002</v>
      </c>
      <c r="E70" s="2">
        <f>$C$5*EXP(($C$8-0.5*$C$9^2)*1 + $C$9*C70*SQRT(1))</f>
        <v>2817.5928224137674</v>
      </c>
      <c r="F70" s="2">
        <f>E70*EXP(($C$8-0.5*$C$9^2)*1 + $C$9*D70*SQRT(1))</f>
        <v>3230.2971257342379</v>
      </c>
      <c r="G70" s="2">
        <f>MAX(F70-$C$6,0)</f>
        <v>0</v>
      </c>
    </row>
    <row r="71" spans="2:12" x14ac:dyDescent="0.2">
      <c r="B71" s="2">
        <v>5</v>
      </c>
      <c r="C71" s="2">
        <v>-0.32627199000000001</v>
      </c>
      <c r="D71" s="2">
        <v>-0.20236161</v>
      </c>
      <c r="E71" s="2">
        <f>$C$5*EXP(($C$8-0.5*$C$9^2)*1 + $C$9*C71*SQRT(1))</f>
        <v>3339.1209394134989</v>
      </c>
      <c r="F71" s="2">
        <f>E71*EXP(($C$8-0.5*$C$9^2)*1 + $C$9*D71*SQRT(1))</f>
        <v>3222.2080724925759</v>
      </c>
      <c r="G71" s="2">
        <f>MAX(F71-$C$6,0)</f>
        <v>0</v>
      </c>
    </row>
    <row r="72" spans="2:12" x14ac:dyDescent="0.2">
      <c r="B72" s="1" t="s">
        <v>57</v>
      </c>
      <c r="C72" s="2">
        <f>AVERAGE(G67:G71)*EXP(-$C$8*$C$10)</f>
        <v>152.4461953820055</v>
      </c>
    </row>
    <row r="74" spans="2:12" ht="16" x14ac:dyDescent="0.2">
      <c r="B74" s="3" t="s">
        <v>58</v>
      </c>
      <c r="C74" s="4"/>
      <c r="D74" s="4"/>
      <c r="E74" s="4"/>
      <c r="F74" s="4"/>
      <c r="G74" s="4"/>
      <c r="H74" s="4"/>
      <c r="I74" s="4"/>
      <c r="J74" s="4"/>
      <c r="K74" s="4"/>
      <c r="L74" s="4"/>
    </row>
    <row r="75" spans="2:12" x14ac:dyDescent="0.2">
      <c r="B75" s="6" t="s">
        <v>59</v>
      </c>
      <c r="C75" s="4"/>
      <c r="D75" s="4"/>
      <c r="E75" s="4"/>
      <c r="F75" s="4"/>
      <c r="G75" s="4"/>
      <c r="H75" s="4"/>
      <c r="I75" s="4"/>
      <c r="J75" s="4"/>
      <c r="K75" s="4"/>
      <c r="L75" s="4"/>
    </row>
    <row r="76" spans="2:12" ht="16" x14ac:dyDescent="0.2">
      <c r="B76" s="3" t="s">
        <v>16</v>
      </c>
      <c r="C76" s="4"/>
      <c r="D76" s="4"/>
      <c r="E76" s="4"/>
      <c r="F76" s="4"/>
      <c r="G76" s="4"/>
      <c r="H76" s="4"/>
      <c r="I76" s="4"/>
      <c r="J76" s="4"/>
      <c r="K76" s="4"/>
      <c r="L76" s="4"/>
    </row>
    <row r="77" spans="2:12" x14ac:dyDescent="0.2">
      <c r="B77" s="7" t="s">
        <v>60</v>
      </c>
      <c r="C77" s="4"/>
      <c r="D77" s="4"/>
      <c r="E77" s="4"/>
      <c r="F77" s="4"/>
      <c r="G77" s="4"/>
      <c r="H77" s="4"/>
      <c r="I77" s="4"/>
      <c r="J77" s="4"/>
      <c r="K77" s="4"/>
      <c r="L77" s="4"/>
    </row>
    <row r="79" spans="2:12" ht="16" x14ac:dyDescent="0.2">
      <c r="B79" s="3" t="s">
        <v>61</v>
      </c>
      <c r="C79" s="4"/>
      <c r="D79" s="4"/>
      <c r="E79" s="4"/>
      <c r="F79" s="4"/>
      <c r="G79" s="4"/>
      <c r="H79" s="4"/>
      <c r="I79" s="4"/>
      <c r="J79" s="4"/>
      <c r="K79" s="4"/>
      <c r="L79" s="4"/>
    </row>
    <row r="80" spans="2:12" x14ac:dyDescent="0.2">
      <c r="B80" s="6" t="s">
        <v>62</v>
      </c>
      <c r="C80" s="4"/>
      <c r="D80" s="4"/>
      <c r="E80" s="4"/>
      <c r="F80" s="4"/>
      <c r="G80" s="4"/>
      <c r="H80" s="4"/>
      <c r="I80" s="4"/>
      <c r="J80" s="4"/>
      <c r="K80" s="4"/>
      <c r="L80" s="4"/>
    </row>
    <row r="81" spans="2:12" ht="16" x14ac:dyDescent="0.2">
      <c r="B81" s="3" t="s">
        <v>16</v>
      </c>
      <c r="C81" s="4"/>
      <c r="D81" s="4"/>
      <c r="E81" s="4"/>
      <c r="F81" s="4"/>
      <c r="G81" s="4"/>
      <c r="H81" s="4"/>
      <c r="I81" s="4"/>
      <c r="J81" s="4"/>
      <c r="K81" s="4"/>
      <c r="L81" s="4"/>
    </row>
    <row r="82" spans="2:12" x14ac:dyDescent="0.2">
      <c r="B82" s="7" t="s">
        <v>63</v>
      </c>
      <c r="C82" s="4"/>
      <c r="D82" s="4"/>
      <c r="E82" s="4"/>
      <c r="F82" s="4"/>
      <c r="G82" s="4"/>
      <c r="H82" s="4"/>
      <c r="I82" s="4"/>
      <c r="J82" s="4"/>
      <c r="K82" s="4"/>
      <c r="L82" s="4"/>
    </row>
    <row r="84" spans="2:12" ht="16" x14ac:dyDescent="0.2">
      <c r="B84" s="3" t="s">
        <v>64</v>
      </c>
      <c r="C84" s="4"/>
      <c r="D84" s="4"/>
      <c r="E84" s="4"/>
      <c r="F84" s="4"/>
      <c r="G84" s="4"/>
      <c r="H84" s="4"/>
      <c r="I84" s="4"/>
      <c r="J84" s="4"/>
      <c r="K84" s="4"/>
      <c r="L84" s="4"/>
    </row>
    <row r="85" spans="2:12" x14ac:dyDescent="0.2">
      <c r="B85" s="6" t="s">
        <v>65</v>
      </c>
      <c r="C85" s="4"/>
      <c r="D85" s="4"/>
      <c r="E85" s="4"/>
      <c r="F85" s="4"/>
      <c r="G85" s="4"/>
      <c r="H85" s="4"/>
      <c r="I85" s="4"/>
      <c r="J85" s="4"/>
      <c r="K85" s="4"/>
      <c r="L85" s="4"/>
    </row>
    <row r="86" spans="2:12" ht="16" x14ac:dyDescent="0.2">
      <c r="B86" s="3" t="s">
        <v>16</v>
      </c>
      <c r="C86" s="4"/>
      <c r="D86" s="4"/>
      <c r="E86" s="4"/>
      <c r="F86" s="4"/>
      <c r="G86" s="4"/>
      <c r="H86" s="4"/>
      <c r="I86" s="4"/>
      <c r="J86" s="4"/>
      <c r="K86" s="4"/>
      <c r="L86" s="4"/>
    </row>
    <row r="87" spans="2:12" x14ac:dyDescent="0.2">
      <c r="B87" s="7" t="s">
        <v>66</v>
      </c>
      <c r="C87" s="4"/>
      <c r="D87" s="4"/>
      <c r="E87" s="4"/>
      <c r="F87" s="4"/>
      <c r="G87" s="4"/>
      <c r="H87" s="4"/>
      <c r="I87" s="4"/>
      <c r="J87" s="4"/>
      <c r="K87" s="4"/>
      <c r="L87" s="4"/>
    </row>
    <row r="89" spans="2:12" ht="16" x14ac:dyDescent="0.2">
      <c r="B89" s="3" t="s">
        <v>67</v>
      </c>
      <c r="C89" s="4"/>
      <c r="D89" s="4"/>
      <c r="E89" s="4"/>
      <c r="F89" s="4"/>
      <c r="G89" s="4"/>
      <c r="H89" s="4"/>
      <c r="I89" s="4"/>
      <c r="J89" s="4"/>
      <c r="K89" s="4"/>
      <c r="L89" s="4"/>
    </row>
    <row r="90" spans="2:12" x14ac:dyDescent="0.2">
      <c r="B90" s="6" t="s">
        <v>68</v>
      </c>
      <c r="C90" s="4"/>
      <c r="D90" s="4"/>
      <c r="E90" s="4"/>
      <c r="F90" s="4"/>
      <c r="G90" s="4"/>
      <c r="H90" s="4"/>
      <c r="I90" s="4"/>
      <c r="J90" s="4"/>
      <c r="K90" s="4"/>
      <c r="L90" s="4"/>
    </row>
    <row r="91" spans="2:12" ht="16" x14ac:dyDescent="0.2">
      <c r="B91" s="3" t="s">
        <v>16</v>
      </c>
      <c r="C91" s="4"/>
      <c r="D91" s="4"/>
      <c r="E91" s="4"/>
      <c r="F91" s="4"/>
      <c r="G91" s="4"/>
      <c r="H91" s="4"/>
      <c r="I91" s="4"/>
      <c r="J91" s="4"/>
      <c r="K91" s="4"/>
      <c r="L91" s="4"/>
    </row>
    <row r="92" spans="2:12" x14ac:dyDescent="0.2">
      <c r="B92" s="7" t="s">
        <v>69</v>
      </c>
      <c r="C92" s="4"/>
      <c r="D92" s="4"/>
      <c r="E92" s="4"/>
      <c r="F92" s="4"/>
      <c r="G92" s="4"/>
      <c r="H92" s="4"/>
      <c r="I92" s="4"/>
      <c r="J92" s="4"/>
      <c r="K92" s="4"/>
      <c r="L92" s="4"/>
    </row>
    <row r="94" spans="2:12" ht="16" x14ac:dyDescent="0.2">
      <c r="B94" s="3" t="s">
        <v>70</v>
      </c>
      <c r="C94" s="4"/>
      <c r="D94" s="4"/>
      <c r="E94" s="4"/>
      <c r="F94" s="4"/>
      <c r="G94" s="4"/>
      <c r="H94" s="4"/>
      <c r="I94" s="4"/>
      <c r="J94" s="4"/>
      <c r="K94" s="4"/>
      <c r="L94" s="4"/>
    </row>
    <row r="95" spans="2:12" x14ac:dyDescent="0.2">
      <c r="B95" s="6" t="s">
        <v>71</v>
      </c>
      <c r="C95" s="4"/>
      <c r="D95" s="4"/>
      <c r="E95" s="4"/>
      <c r="F95" s="4"/>
      <c r="G95" s="4"/>
      <c r="H95" s="4"/>
      <c r="I95" s="4"/>
      <c r="J95" s="4"/>
      <c r="K95" s="4"/>
      <c r="L95" s="4"/>
    </row>
    <row r="96" spans="2:12" ht="16" x14ac:dyDescent="0.2">
      <c r="B96" s="3" t="s">
        <v>16</v>
      </c>
      <c r="C96" s="4"/>
      <c r="D96" s="4"/>
      <c r="E96" s="4"/>
      <c r="F96" s="4"/>
      <c r="G96" s="4"/>
      <c r="H96" s="4"/>
      <c r="I96" s="4"/>
      <c r="J96" s="4"/>
      <c r="K96" s="4"/>
      <c r="L96" s="4"/>
    </row>
    <row r="97" spans="2:12" x14ac:dyDescent="0.2">
      <c r="B97" s="7" t="s">
        <v>72</v>
      </c>
      <c r="C97" s="4"/>
      <c r="D97" s="4"/>
      <c r="E97" s="4"/>
      <c r="F97" s="4"/>
      <c r="G97" s="4"/>
      <c r="H97" s="4"/>
      <c r="I97" s="4"/>
      <c r="J97" s="4"/>
      <c r="K97" s="4"/>
      <c r="L97" s="4"/>
    </row>
    <row r="99" spans="2:12" ht="16" x14ac:dyDescent="0.2">
      <c r="B99" s="3" t="s">
        <v>73</v>
      </c>
      <c r="C99" s="4"/>
      <c r="D99" s="4"/>
      <c r="E99" s="4"/>
      <c r="F99" s="4"/>
      <c r="G99" s="4"/>
      <c r="H99" s="4"/>
      <c r="I99" s="4"/>
      <c r="J99" s="4"/>
      <c r="K99" s="4"/>
      <c r="L99" s="4"/>
    </row>
    <row r="100" spans="2:12" x14ac:dyDescent="0.2">
      <c r="B100" s="6" t="s">
        <v>74</v>
      </c>
      <c r="C100" s="4"/>
      <c r="D100" s="4"/>
      <c r="E100" s="4"/>
      <c r="F100" s="4"/>
      <c r="G100" s="4"/>
      <c r="H100" s="4"/>
      <c r="I100" s="4"/>
      <c r="J100" s="4"/>
      <c r="K100" s="4"/>
      <c r="L100" s="4"/>
    </row>
    <row r="101" spans="2:12" ht="16" x14ac:dyDescent="0.2">
      <c r="B101" s="3" t="s">
        <v>16</v>
      </c>
      <c r="C101" s="4"/>
      <c r="D101" s="4"/>
      <c r="E101" s="4"/>
      <c r="F101" s="4"/>
      <c r="G101" s="4"/>
      <c r="H101" s="4"/>
      <c r="I101" s="4"/>
      <c r="J101" s="4"/>
      <c r="K101" s="4"/>
      <c r="L101" s="4"/>
    </row>
    <row r="102" spans="2:12" x14ac:dyDescent="0.2">
      <c r="B102" s="7" t="s">
        <v>75</v>
      </c>
      <c r="C102" s="4"/>
      <c r="D102" s="4"/>
      <c r="E102" s="4"/>
      <c r="F102" s="4"/>
      <c r="G102" s="4"/>
      <c r="H102" s="4"/>
      <c r="I102" s="4"/>
      <c r="J102" s="4"/>
      <c r="K102" s="4"/>
      <c r="L102" s="4"/>
    </row>
  </sheetData>
  <mergeCells count="53">
    <mergeCell ref="B1:L1"/>
    <mergeCell ref="B61:L61"/>
    <mergeCell ref="B38:L38"/>
    <mergeCell ref="B44:L44"/>
    <mergeCell ref="B82:L82"/>
    <mergeCell ref="B19:L19"/>
    <mergeCell ref="B34:L34"/>
    <mergeCell ref="B40:L40"/>
    <mergeCell ref="B74:L74"/>
    <mergeCell ref="B64:L64"/>
    <mergeCell ref="B33:L33"/>
    <mergeCell ref="B24:L24"/>
    <mergeCell ref="B80:L80"/>
    <mergeCell ref="B20:L20"/>
    <mergeCell ref="B36:L36"/>
    <mergeCell ref="B76:L76"/>
    <mergeCell ref="B2:L2"/>
    <mergeCell ref="B101:L101"/>
    <mergeCell ref="B63:L63"/>
    <mergeCell ref="B23:L23"/>
    <mergeCell ref="B17:L17"/>
    <mergeCell ref="B87:L87"/>
    <mergeCell ref="B99:L99"/>
    <mergeCell ref="B84:L84"/>
    <mergeCell ref="B92:L92"/>
    <mergeCell ref="B95:L95"/>
    <mergeCell ref="B89:L89"/>
    <mergeCell ref="B85:L85"/>
    <mergeCell ref="B94:L94"/>
    <mergeCell ref="B45:L45"/>
    <mergeCell ref="B4:C4"/>
    <mergeCell ref="B41:L41"/>
    <mergeCell ref="B102:L102"/>
    <mergeCell ref="B43:L43"/>
    <mergeCell ref="B96:L96"/>
    <mergeCell ref="B79:L79"/>
    <mergeCell ref="B48:L48"/>
    <mergeCell ref="B86:L86"/>
    <mergeCell ref="B77:L77"/>
    <mergeCell ref="B100:L100"/>
    <mergeCell ref="B25:L25"/>
    <mergeCell ref="B90:L90"/>
    <mergeCell ref="B81:L81"/>
    <mergeCell ref="B46:L46"/>
    <mergeCell ref="B39:L39"/>
    <mergeCell ref="B35:L35"/>
    <mergeCell ref="F4:G4"/>
    <mergeCell ref="B75:L75"/>
    <mergeCell ref="B91:L91"/>
    <mergeCell ref="B97:L97"/>
    <mergeCell ref="B62:L62"/>
    <mergeCell ref="B22:L22"/>
    <mergeCell ref="B18:L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Exercice 2 – 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dakpogan</cp:lastModifiedBy>
  <dcterms:created xsi:type="dcterms:W3CDTF">2025-11-07T23:21:03Z</dcterms:created>
  <dcterms:modified xsi:type="dcterms:W3CDTF">2025-11-08T23:34:27Z</dcterms:modified>
</cp:coreProperties>
</file>