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pauldakpogan/Downloads/"/>
    </mc:Choice>
  </mc:AlternateContent>
  <xr:revisionPtr revIDLastSave="0" documentId="8_{47D9F64A-04FC-354F-8B79-E8887B92F257}" xr6:coauthVersionLast="47" xr6:coauthVersionMax="47" xr10:uidLastSave="{00000000-0000-0000-0000-000000000000}"/>
  <bookViews>
    <workbookView xWindow="0" yWindow="500" windowWidth="33600" windowHeight="19480" activeTab="2" xr2:uid="{00000000-000D-0000-FFFF-FFFF00000000}"/>
  </bookViews>
  <sheets>
    <sheet name="Index" sheetId="1" r:id="rId1"/>
    <sheet name="Ex1_RenteConjoint" sheetId="2" r:id="rId2"/>
    <sheet name="Ex2_RenteEducation" sheetId="3" r:id="rId3"/>
    <sheet name="Ex4_IncapaciteTravail" sheetId="5" r:id="rId4"/>
    <sheet name="Ex5_InvaliditeCours" sheetId="6" r:id="rId5"/>
    <sheet name="Ex6_InvaliditeAttente" sheetId="7" r:id="rId6"/>
    <sheet name="Ex7_PrimesLissees" sheetId="8" r:id="rId7"/>
    <sheet name="Ex8_MaintienDeces" sheetId="9" r:id="rId8"/>
    <sheet name="Ex9_DerniereAnnee" sheetId="10" r:id="rId9"/>
    <sheet name="Ex10_ChainLadder" sheetId="11" r:id="rId10"/>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11" l="1"/>
  <c r="E12" i="11"/>
  <c r="E10" i="11"/>
  <c r="D11" i="11"/>
  <c r="C12" i="11"/>
  <c r="C14" i="11"/>
  <c r="C18" i="11"/>
  <c r="C15" i="8"/>
  <c r="C16" i="5"/>
  <c r="C17" i="5" s="1"/>
  <c r="C25" i="3"/>
  <c r="C15" i="10"/>
  <c r="C14" i="10"/>
  <c r="F11" i="9"/>
  <c r="G11" i="9" s="1"/>
  <c r="F10" i="9"/>
  <c r="G10" i="9" s="1"/>
  <c r="C19" i="8"/>
  <c r="C16" i="7"/>
  <c r="C17" i="7" s="1"/>
  <c r="B13" i="6"/>
  <c r="C16" i="6" s="1"/>
  <c r="C17" i="6" s="1"/>
  <c r="C19" i="3"/>
  <c r="C18" i="3"/>
  <c r="C18" i="2"/>
  <c r="C24" i="2" s="1"/>
  <c r="C17" i="2"/>
  <c r="C23" i="2" s="1"/>
  <c r="C20" i="3" l="1"/>
  <c r="C26" i="3" s="1"/>
  <c r="C24" i="3"/>
  <c r="C19" i="2"/>
  <c r="C25" i="2" s="1"/>
  <c r="B19" i="8"/>
  <c r="C20" i="11" l="1"/>
  <c r="D14" i="11"/>
  <c r="D12" i="11" s="1"/>
  <c r="C21" i="11" s="1"/>
  <c r="C19" i="11"/>
</calcChain>
</file>

<file path=xl/sharedStrings.xml><?xml version="1.0" encoding="utf-8"?>
<sst xmlns="http://schemas.openxmlformats.org/spreadsheetml/2006/main" count="401" uniqueCount="222">
  <si>
    <t>Module</t>
  </si>
  <si>
    <t>Exercice</t>
  </si>
  <si>
    <t>Objectif</t>
  </si>
  <si>
    <t>Lien</t>
  </si>
  <si>
    <t>Module 1 – Risque décès</t>
  </si>
  <si>
    <t>Exercice 1</t>
  </si>
  <si>
    <t>PM rente viagère</t>
  </si>
  <si>
    <t>Ouvrir</t>
  </si>
  <si>
    <t>Exercice 2</t>
  </si>
  <si>
    <t>PM rente temporaire</t>
  </si>
  <si>
    <t>Impact du taux technique</t>
  </si>
  <si>
    <t>Module 2 – Arrêt de travail</t>
  </si>
  <si>
    <t>Exercice 4</t>
  </si>
  <si>
    <t>Provision incapacité</t>
  </si>
  <si>
    <t>Exercice 5</t>
  </si>
  <si>
    <t>Provision invalidité en cours</t>
  </si>
  <si>
    <t>Exercice 6</t>
  </si>
  <si>
    <t>Provision invalidité en attente</t>
  </si>
  <si>
    <t>Module 3 – Maintien des garanties décès</t>
  </si>
  <si>
    <t>Exercice 7</t>
  </si>
  <si>
    <t>Primes lissées</t>
  </si>
  <si>
    <t>Exercice 8</t>
  </si>
  <si>
    <t>Maintien garantie décès</t>
  </si>
  <si>
    <t>Module 4 – Sinistres inconnus</t>
  </si>
  <si>
    <t>Exercice 9</t>
  </si>
  <si>
    <t>Méthode de la dernière année</t>
  </si>
  <si>
    <t>Module 5 – Sinistres tardifs</t>
  </si>
  <si>
    <t>Exercice 10</t>
  </si>
  <si>
    <t>Méthode Chain Ladder</t>
  </si>
  <si>
    <t>Exercice 1 – Rente de conjoint</t>
  </si>
  <si>
    <t>Objectif : Calculer la provision mathématique pour une rente viagère.</t>
  </si>
  <si>
    <t>Données</t>
  </si>
  <si>
    <t>Paramètre</t>
  </si>
  <si>
    <t>Valeur</t>
  </si>
  <si>
    <t>Unité</t>
  </si>
  <si>
    <t>Commentaire</t>
  </si>
  <si>
    <t>Montant rente annuelle</t>
  </si>
  <si>
    <t>€</t>
  </si>
  <si>
    <t>Rente annuelle brute</t>
  </si>
  <si>
    <t>Âge du conjoint</t>
  </si>
  <si>
    <t>ans</t>
  </si>
  <si>
    <t>Âge au calcul</t>
  </si>
  <si>
    <t>Table TGF05</t>
  </si>
  <si>
    <t>Calculs</t>
  </si>
  <si>
    <t>Étape</t>
  </si>
  <si>
    <t>Formule Excel</t>
  </si>
  <si>
    <t>Résultat</t>
  </si>
  <si>
    <t>CC (0%)</t>
  </si>
  <si>
    <t>'=B10*B12</t>
  </si>
  <si>
    <t>Capital constitutif pour taux 0%</t>
  </si>
  <si>
    <t>CC (1%)</t>
  </si>
  <si>
    <t>'=B10*B13</t>
  </si>
  <si>
    <t>Capital constitutif pour taux 1%</t>
  </si>
  <si>
    <t>Impact (%)</t>
  </si>
  <si>
    <t>Variation relative</t>
  </si>
  <si>
    <t>Résultats</t>
  </si>
  <si>
    <t>Indicateur</t>
  </si>
  <si>
    <t>Formule</t>
  </si>
  <si>
    <t>Interprétation</t>
  </si>
  <si>
    <t>PM (0%)</t>
  </si>
  <si>
    <t>'=C17</t>
  </si>
  <si>
    <t>Provision mathématique à taux 0%</t>
  </si>
  <si>
    <t>PM (1%)</t>
  </si>
  <si>
    <t>'=C18</t>
  </si>
  <si>
    <t>Provision mathématique à taux 1%</t>
  </si>
  <si>
    <t>'=C19</t>
  </si>
  <si>
    <t>Correction (valeurs)</t>
  </si>
  <si>
    <t>Exercice 2 – Rente éducation</t>
  </si>
  <si>
    <t>Objectif : Calculer la provision mathématique d’une rente temporaire sur 8 ans.</t>
  </si>
  <si>
    <t>Rente annuelle</t>
  </si>
  <si>
    <t>Montant brut</t>
  </si>
  <si>
    <t>Âge de départ de la rente</t>
  </si>
  <si>
    <t>Durée</t>
  </si>
  <si>
    <t>Durée de la rente</t>
  </si>
  <si>
    <t>Table TF-02</t>
  </si>
  <si>
    <t>'=B10*B14</t>
  </si>
  <si>
    <t>'=(C19-C18)/C18</t>
  </si>
  <si>
    <t>Provision @0%</t>
  </si>
  <si>
    <t>Provision @1%</t>
  </si>
  <si>
    <t>'=C20</t>
  </si>
  <si>
    <t>Exercice 4 – Provision pour incapacité de travail</t>
  </si>
  <si>
    <t>Objectif : Calcu ler la provision mathématique pour incapacité de travail à partir d’un barème BCAC.</t>
  </si>
  <si>
    <t>Age / mois</t>
  </si>
  <si>
    <t>Montant IJ mensuel</t>
  </si>
  <si>
    <t>Indemnité mensuelle</t>
  </si>
  <si>
    <t>Âge</t>
  </si>
  <si>
    <t>Âge actuel</t>
  </si>
  <si>
    <t>Ancienneté (mois)</t>
  </si>
  <si>
    <t>mois</t>
  </si>
  <si>
    <t>Durée depuis l’entrée en incapacité</t>
  </si>
  <si>
    <t>Coefficient BCAC</t>
  </si>
  <si>
    <t>Coefficient pour âge et ancienneté sélectionnés</t>
  </si>
  <si>
    <t>Provision</t>
  </si>
  <si>
    <t>'=B10*C16</t>
  </si>
  <si>
    <t>Montant de la provision (IJ × coefficient)</t>
  </si>
  <si>
    <t>9,40</t>
  </si>
  <si>
    <t>Valeur lue dans la table (âge 43, ancienneté 3)</t>
  </si>
  <si>
    <t>100 × 9,40</t>
  </si>
  <si>
    <t>Montant IJ × coefficient</t>
  </si>
  <si>
    <t>Exercice 5 – Provision pour invalidité en cours</t>
  </si>
  <si>
    <t>Objectif : Calcu ler la provision d’une rente d’invalidité en cours à l’aide du barème BCAC.</t>
  </si>
  <si>
    <t>Age / année</t>
  </si>
  <si>
    <t>Montant de la rente</t>
  </si>
  <si>
    <t>Ancienneté (années)</t>
  </si>
  <si>
    <t>Durée depuis entrée en invalidité</t>
  </si>
  <si>
    <t>Âge à l’entrée en invalidité</t>
  </si>
  <si>
    <t>Calcul: âge actuel - ancienneté</t>
  </si>
  <si>
    <t>Coefficient pour âge à l’entrée et ancienneté</t>
  </si>
  <si>
    <t>Montant de la provision (rente × coefficient)</t>
  </si>
  <si>
    <t>6,59</t>
  </si>
  <si>
    <t>Valeur lue dans la table (âge 52, ancienneté 2)</t>
  </si>
  <si>
    <t>1000 × 6,59</t>
  </si>
  <si>
    <t>Rente × coefficient</t>
  </si>
  <si>
    <t>Exercice 6 – Provision pour invalidité en attente</t>
  </si>
  <si>
    <t>Objectif : Calculer la provision d’une rente d’invalidité en attente.</t>
  </si>
  <si>
    <t>Durée incapacité (mois)</t>
  </si>
  <si>
    <t>Mois depuis incapacité</t>
  </si>
  <si>
    <t>Coefficient d’attente</t>
  </si>
  <si>
    <t>Coefficient correspondant à l’âge et au mois</t>
  </si>
  <si>
    <t>Montant de la provision</t>
  </si>
  <si>
    <t>1,78</t>
  </si>
  <si>
    <t>Valeur lue dans la table (âge 43, mois 3)</t>
  </si>
  <si>
    <t>1000 × 1,78</t>
  </si>
  <si>
    <t>Exercice 7 – Méthode des primes lissées</t>
  </si>
  <si>
    <t>Objectif : Appliquer la méthode des primes lissées pour le maintien des garanties décès.</t>
  </si>
  <si>
    <t>Taux de cotisation</t>
  </si>
  <si>
    <t>%</t>
  </si>
  <si>
    <t>0,8 %</t>
  </si>
  <si>
    <t>Salaire de référence</t>
  </si>
  <si>
    <t>Salaire brut</t>
  </si>
  <si>
    <t>Cotisation décès</t>
  </si>
  <si>
    <t>Taux × Salaire</t>
  </si>
  <si>
    <t>Cotisation annuelle à provisionner</t>
  </si>
  <si>
    <t>0,8 % × 30 000</t>
  </si>
  <si>
    <t>Résultat de la prime lissée</t>
  </si>
  <si>
    <t>Exercice 8 – Maintien de garantie décès</t>
  </si>
  <si>
    <t>Objectif : Évaluer la PM de maintien de garantie décès pour deux cas.</t>
  </si>
  <si>
    <t>Cas</t>
  </si>
  <si>
    <t>Situation</t>
  </si>
  <si>
    <t>Coeff. IT/IP</t>
  </si>
  <si>
    <t>Coeff. Surmortalité</t>
  </si>
  <si>
    <t>Montant PM</t>
  </si>
  <si>
    <t>N°1</t>
  </si>
  <si>
    <t>Incapacité depuis 1 an</t>
  </si>
  <si>
    <t>N°2</t>
  </si>
  <si>
    <t>Invalidité depuis 5 ans</t>
  </si>
  <si>
    <t>La cotisation décès est identique pour les deux cas (30 000 € × 0,8 % = 240 €).
Le montant de PM varie fortement selon les coefficients IT/IP et de surmortalité :
• Cas N°1 : PM = 240 × 5,5597 × 4,1357 ≈ 5 518 €
• Cas N°2 : PM = 240 × 9,4899 × 5,0749 ≈ 11 558 €
Plus les coefficients sont élevés, plus la provision est importante.</t>
  </si>
  <si>
    <t>0,8 % × 30 000; × 5,5597 × 4,1357</t>
  </si>
  <si>
    <t>Cas N°1</t>
  </si>
  <si>
    <t>0,8 % × 30 000; × 9,4899 × 5,0749</t>
  </si>
  <si>
    <t>Cas N°2</t>
  </si>
  <si>
    <t>Objectif : Estimer les provisions pour sinistres à payer selon la méthode de la dernière année.</t>
  </si>
  <si>
    <t>Prest. N-1</t>
  </si>
  <si>
    <t>Prest. N</t>
  </si>
  <si>
    <t>N-1</t>
  </si>
  <si>
    <t>N</t>
  </si>
  <si>
    <t>Ratio S/P N-1</t>
  </si>
  <si>
    <t>'=(C10+D10)/B10</t>
  </si>
  <si>
    <t>Ratio sinistres à primes</t>
  </si>
  <si>
    <t>PSAP</t>
  </si>
  <si>
    <t>'==(C10+D10)/B10*B11-D11</t>
  </si>
  <si>
    <t>Provisions pour sinistres à payer</t>
  </si>
  <si>
    <t>(65 000 + 12 000)/80 000</t>
  </si>
  <si>
    <t>Ratio = 96,25 %</t>
  </si>
  <si>
    <t>0,9625 × 85 000 – 68 000</t>
  </si>
  <si>
    <t>PSAP à constituer</t>
  </si>
  <si>
    <t>Exercice 10 – Méthode Chain Ladder</t>
  </si>
  <si>
    <t>Objectif : Estimer une charge ultime et une provision pour sinistres tardifs avec le modèle Chain Ladder.</t>
  </si>
  <si>
    <t>Triangle des charges</t>
  </si>
  <si>
    <t>0</t>
  </si>
  <si>
    <t>1</t>
  </si>
  <si>
    <t>2</t>
  </si>
  <si>
    <t>Charge finale</t>
  </si>
  <si>
    <t>n</t>
  </si>
  <si>
    <t>n+1</t>
  </si>
  <si>
    <t>n+2</t>
  </si>
  <si>
    <t>Facteur de développement 1</t>
  </si>
  <si>
    <t>Facteur moyen de passage de 0 à 1</t>
  </si>
  <si>
    <t>Facteur de développement 2</t>
  </si>
  <si>
    <t>Facteur moyen de passage de 1 à 2</t>
  </si>
  <si>
    <t>Charge finale estimée pour n+2</t>
  </si>
  <si>
    <t>Charge finale estimée pour la dernière année</t>
  </si>
  <si>
    <t>Provision pour sinistres tardifs</t>
  </si>
  <si>
    <t>Provisions à constituer</t>
  </si>
  <si>
    <t>Facteur 1</t>
  </si>
  <si>
    <t>(60+70+76)/(40+45+50)</t>
  </si>
  <si>
    <t>≈153 %</t>
  </si>
  <si>
    <t>Facteur 2</t>
  </si>
  <si>
    <t>(70+82)/(60+70)</t>
  </si>
  <si>
    <t>≈117 %</t>
  </si>
  <si>
    <t>Charge finale n+2</t>
  </si>
  <si>
    <t>76 × 1,1692</t>
  </si>
  <si>
    <t>≈89</t>
  </si>
  <si>
    <t>Provision tardifs</t>
  </si>
  <si>
    <t>(70+82+88,86)-(70+70+50)</t>
  </si>
  <si>
    <t>Capital constitutif 1€ (a57 à 0%)</t>
  </si>
  <si>
    <t>Capital constitutif 1€ (a57 à 1%)</t>
  </si>
  <si>
    <t>=(C18-C17)/C17</t>
  </si>
  <si>
    <t>Capital constitutif (a18:8 à 0%)</t>
  </si>
  <si>
    <t>Capital constitutif (a18:8 à 1%)</t>
  </si>
  <si>
    <t>Un enfant né en 2001 bénéficie d’une rente éducation annuelle de 1 000 € versée de 18 à 26 ans. La provision est calculée au 31/12/2019 selon la table TF-02 décalée avec un taux technique de 0 %.
1)  Déterminez le capital constitutif de cette rente temporaire (α = 8 ans).
2) Calculez la provision mathématique correspondante.
3)Analysez l’évolution si le taux technique passait à 1 %.</t>
  </si>
  <si>
    <t>Une femme née en 1962 bénéficie d’une rente annuelle de 10 000 € versée à terme échu. Le calcul de la provision mathématique est effectué au 31/12/2019 avec :
• Table de mortalité : TGF05
• Taux technique : 0 %
• Âge de la bénéficiaire : 57 ans
1) Calculez le capital constitutif d’une rente viagère de 1 € à 57 ans.
2) Déduisez la provision mathématique correspondant à la rente de 10 000 €.
3) Recalculez avec un taux technique de 1 % et comparez l’impact.</t>
  </si>
  <si>
    <t>Provision temporaire à taux 0%</t>
  </si>
  <si>
    <t>Provision temporaire à taux 1%</t>
  </si>
  <si>
    <t>=INDEX($G$10:$K$12, EQUIV(B11, $F$10:$F$12, 0), EQUIV(B12, $G$9:$K$9, 0))</t>
  </si>
  <si>
    <t>Conclusion (valeurs)</t>
  </si>
  <si>
    <t>Un assuré âgé de 54 ans bénéficie d’une rente d’invalidité annuelle de 1 000 €. 
Il est en invalidité depuis 2 ans. 
Le barème BCAC (taux technique 2,5 %) indique : vor tableau
1) Déterminez le coefficient BCAC applicable.
2) Calculez la provision mathématique correspondante.
3) Interprétez la signification économique du résultat.</t>
  </si>
  <si>
    <t>Un assuré perçoit une indemnité journalière de 100 € par mois. Il est en incapacité depuis 3 mois et est âgé de 43 ans.
Les barèmes BCAC 2010 (taux technique 2,5 %) donnent les coefficients suivants :
voir tableau 
1) Déterminez le coefficient BCAC à utiliser.
2) Calculez la provision mathématique correspondante.
3) Interprétez le sens de ce coefficient.</t>
  </si>
  <si>
    <t>=INDEX($G$10:$K$12, EQUIV(B13, $F$10:$F$12, 0), EQUIV(B12, $G$9:$K$9, 0))</t>
  </si>
  <si>
    <t xml:space="preserve">Un assuré est en incapacité depuis 3 mois, à 43 ans, et bénéficierait en cas de passage en invalidité d’une rente annuelle de 1 000 €.
Les barèmes 2010 (taux 2,5 %) donnent :
Voir Tableau
1)Déterminez le coefficient d’attente.
2) Calculez la provision pour invalidité en attente.
</t>
  </si>
  <si>
    <t>Dans le cadre d’un contrat collectif :
• Taux de cotisation décès : 0,8 %
• Salaire de référence : 30 000 €
• Méthode : primes lissées appliquées aux cotisations décès.
1)Exprimez la relation entre la prime lissée, le taux de cotisation et le capital sous risque.
2) Calculez la cotisation décès annuelle.
3) Décrivez les avantages et limites de cette méthode.</t>
  </si>
  <si>
    <t>=B10*B11</t>
  </si>
  <si>
    <t>Deux assurés présentent les caractéristiques suivantes :
Voir Tableau
Les données du contrat :
• Salaire de référence : 30 000 €
• Taux de cotisation décès : 0,8 %
1)Calculez la cotisation décès annuelle.
2) Évaluez la PM pour maintien de garantie décès pour chaque cas.
3) Comparez et commentez les résultats obtenus.</t>
  </si>
  <si>
    <t>Une société d’assurance souhaite estimer les provisions pour sinistres à payer (PSAP) au 31/12/N selon la méthode de la dernière année. 
Les données suivantes sont disponibles : Voir Tableau
1)Calculez le ratio S/P de l’exercice N-1.
2) En déduisez la PSAP à constituer au 31/12/N.
3)Interprétez le sens de cette provision.</t>
  </si>
  <si>
    <t>Cotisations encaissées</t>
  </si>
  <si>
    <t>Exercice 9 – PSAP Méthode de la dernière année</t>
  </si>
  <si>
    <t>On dispose du triangle de développement suivant :
1) Calculez le coefficient moyen de passage entre les années de développement.
2) Évaluez la charge finale estimée pour l’année la plus récente.
3)Calculez la provision pour sinistres tardifs à constituer.
4) Expliquez le principe du modèle Chain Ladder et ses hypothèses de stabilité.</t>
  </si>
  <si>
    <t>=SOMME(C10:C11)/SOMME(B10:B11)</t>
  </si>
  <si>
    <t>=SOMME(D10:D11)/SOMME(C10:C11)</t>
  </si>
  <si>
    <t>=C12*(SOMME(D10:D11)/SOMME(C10:C11))</t>
  </si>
  <si>
    <t>Facteurs de developpement</t>
  </si>
  <si>
    <t>=SOMME(C11:D11;D12)-SOMME(D10;C11;B12)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</si>
</sst>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0.0\ &quot;€&quot;"/>
    <numFmt numFmtId="167" formatCode="#,##0\ &quot;€&quot;"/>
  </numFmts>
  <fonts count="19" x14ac:knownFonts="1">
    <font>
      <sz val="11"/>
      <color theme="1"/>
      <name val="Calibri"/>
      <family val="2"/>
      <scheme val="minor"/>
    </font>
    <font>
      <sz val="12"/>
      <color theme="1"/>
      <name val="Calibri"/>
      <family val="2"/>
      <scheme val="minor"/>
    </font>
    <font>
      <b/>
      <sz val="12"/>
      <color rgb="FFFFFFFF"/>
      <name val="Calibri"/>
      <family val="2"/>
    </font>
    <font>
      <sz val="10"/>
      <color rgb="FF000000"/>
      <name val="Calibri"/>
      <family val="2"/>
    </font>
    <font>
      <b/>
      <sz val="11"/>
      <color rgb="FFFFFFFF"/>
      <name val="Calibri"/>
      <family val="2"/>
    </font>
    <font>
      <sz val="12"/>
      <color theme="10"/>
      <name val="Calibri"/>
      <family val="2"/>
      <scheme val="minor"/>
    </font>
    <font>
      <sz val="11"/>
      <color theme="1"/>
      <name val="Calibri"/>
      <family val="2"/>
      <scheme val="minor"/>
    </font>
    <font>
      <sz val="12"/>
      <color rgb="FF000000"/>
      <name val="Calibri"/>
      <family val="2"/>
    </font>
    <font>
      <b/>
      <sz val="14"/>
      <color rgb="FFFFFFFF"/>
      <name val="Calibri"/>
      <family val="2"/>
    </font>
    <font>
      <sz val="12"/>
      <color rgb="FF000000"/>
      <name val="Calibri (Corps)"/>
    </font>
    <font>
      <sz val="12"/>
      <color theme="1"/>
      <name val="Calibri (Corps)"/>
    </font>
    <font>
      <b/>
      <sz val="12"/>
      <color rgb="FF000000"/>
      <name val="Calibri (Corps)"/>
    </font>
    <font>
      <b/>
      <sz val="10"/>
      <color rgb="FF000000"/>
      <name val="Calibri"/>
      <family val="2"/>
    </font>
    <font>
      <sz val="12"/>
      <color rgb="FF000000"/>
      <name val="Calibri"/>
      <family val="2"/>
      <scheme val="minor"/>
    </font>
    <font>
      <b/>
      <sz val="12"/>
      <color rgb="FF000000"/>
      <name val="Calibri"/>
      <family val="2"/>
      <scheme val="minor"/>
    </font>
    <font>
      <b/>
      <sz val="12"/>
      <color rgb="FF000000"/>
      <name val="Calibri"/>
      <family val="2"/>
    </font>
    <font>
      <b/>
      <sz val="11"/>
      <color theme="1"/>
      <name val="Calibri"/>
      <family val="2"/>
      <scheme val="minor"/>
    </font>
    <font>
      <b/>
      <sz val="12"/>
      <color rgb="FFFFFFFF"/>
      <name val="Calibri (Corps)"/>
    </font>
    <font>
      <sz val="11"/>
      <color rgb="FFFFFFFF"/>
      <name val="Calibri"/>
      <family val="2"/>
    </font>
  </fonts>
  <fills count="8">
    <fill>
      <patternFill patternType="none"/>
    </fill>
    <fill>
      <patternFill patternType="gray125"/>
    </fill>
    <fill>
      <patternFill patternType="solid">
        <fgColor rgb="FF00008F"/>
      </patternFill>
    </fill>
    <fill>
      <patternFill patternType="solid">
        <fgColor rgb="FFF2F2F2"/>
      </patternFill>
    </fill>
    <fill>
      <patternFill patternType="solid">
        <fgColor rgb="FFFFFFFF"/>
      </patternFill>
    </fill>
    <fill>
      <patternFill patternType="solid">
        <fgColor rgb="FFE7E6E6"/>
      </patternFill>
    </fill>
    <fill>
      <patternFill patternType="solid">
        <fgColor theme="2"/>
        <bgColor indexed="64"/>
      </patternFill>
    </fill>
    <fill>
      <patternFill patternType="solid">
        <fgColor theme="2" tint="-0.24997711111789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5" fillId="0" borderId="0"/>
    <xf numFmtId="9" fontId="6" fillId="0" borderId="0" applyFont="0" applyFill="0" applyBorder="0" applyAlignment="0" applyProtection="0"/>
  </cellStyleXfs>
  <cellXfs count="44">
    <xf numFmtId="0" fontId="0" fillId="0" borderId="0" xfId="0"/>
    <xf numFmtId="0" fontId="2" fillId="2" borderId="1" xfId="0" applyFont="1" applyFill="1" applyBorder="1" applyAlignment="1">
      <alignment horizontal="center" vertical="center" wrapText="1"/>
    </xf>
    <xf numFmtId="0" fontId="3" fillId="0" borderId="1" xfId="0" applyFont="1" applyBorder="1" applyAlignment="1">
      <alignment horizontal="left" vertical="top" wrapText="1"/>
    </xf>
    <xf numFmtId="0" fontId="3" fillId="0" borderId="1" xfId="1" applyFont="1" applyBorder="1" applyAlignment="1">
      <alignment horizontal="left" vertical="top" wrapText="1"/>
    </xf>
    <xf numFmtId="0" fontId="4" fillId="2" borderId="0" xfId="0" applyFont="1" applyFill="1" applyAlignment="1">
      <alignment horizontal="left" vertical="top" wrapText="1"/>
    </xf>
    <xf numFmtId="0" fontId="4" fillId="2" borderId="1" xfId="0" applyFont="1" applyFill="1" applyBorder="1" applyAlignment="1">
      <alignment horizontal="center" vertical="center" wrapText="1"/>
    </xf>
    <xf numFmtId="0" fontId="3" fillId="4"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3" fillId="4" borderId="1" xfId="0" applyFont="1" applyFill="1" applyBorder="1" applyAlignment="1">
      <alignment horizontal="center" vertical="center" wrapText="1"/>
    </xf>
    <xf numFmtId="0" fontId="3" fillId="3" borderId="0" xfId="0" applyFont="1" applyFill="1" applyAlignment="1">
      <alignment horizontal="left" vertical="top" wrapText="1"/>
    </xf>
    <xf numFmtId="0" fontId="2" fillId="2" borderId="0" xfId="0" applyFont="1" applyFill="1" applyAlignment="1">
      <alignment horizontal="center" vertical="center" wrapText="1"/>
    </xf>
    <xf numFmtId="0" fontId="3" fillId="4" borderId="1" xfId="0" quotePrefix="1" applyFont="1" applyFill="1" applyBorder="1" applyAlignment="1">
      <alignment horizontal="left" vertical="top" wrapText="1"/>
    </xf>
    <xf numFmtId="167" fontId="3" fillId="4" borderId="1" xfId="0" applyNumberFormat="1" applyFont="1" applyFill="1" applyBorder="1" applyAlignment="1">
      <alignment horizontal="left" vertical="top" wrapText="1"/>
    </xf>
    <xf numFmtId="9" fontId="3" fillId="4" borderId="1" xfId="2" applyFont="1" applyFill="1" applyBorder="1" applyAlignment="1">
      <alignment horizontal="left" vertical="top" wrapText="1"/>
    </xf>
    <xf numFmtId="10" fontId="3" fillId="4" borderId="1" xfId="2" applyNumberFormat="1" applyFont="1" applyFill="1" applyBorder="1" applyAlignment="1">
      <alignment horizontal="left" vertical="top" wrapText="1"/>
    </xf>
    <xf numFmtId="2" fontId="3" fillId="4" borderId="1" xfId="0" applyNumberFormat="1" applyFont="1" applyFill="1" applyBorder="1" applyAlignment="1">
      <alignment horizontal="left" vertical="top" wrapText="1"/>
    </xf>
    <xf numFmtId="0" fontId="3" fillId="6" borderId="1" xfId="0" applyFont="1" applyFill="1" applyBorder="1" applyAlignment="1">
      <alignment horizontal="left" vertical="top" wrapText="1"/>
    </xf>
    <xf numFmtId="0" fontId="7" fillId="3" borderId="0" xfId="0" applyFont="1" applyFill="1" applyAlignment="1">
      <alignment horizontal="left" vertical="top" wrapText="1"/>
    </xf>
    <xf numFmtId="0" fontId="8" fillId="2" borderId="0" xfId="0" applyFont="1" applyFill="1" applyAlignment="1">
      <alignment horizontal="center" vertical="center" wrapText="1"/>
    </xf>
    <xf numFmtId="0" fontId="9" fillId="3" borderId="0" xfId="0" applyFont="1" applyFill="1" applyAlignment="1">
      <alignment horizontal="left" vertical="top" wrapText="1"/>
    </xf>
    <xf numFmtId="0" fontId="10" fillId="0" borderId="0" xfId="0" applyFont="1"/>
    <xf numFmtId="0" fontId="7" fillId="3" borderId="1" xfId="0" applyFont="1" applyFill="1" applyBorder="1" applyAlignment="1">
      <alignment horizontal="left" vertical="top" wrapText="1"/>
    </xf>
    <xf numFmtId="0" fontId="11" fillId="3" borderId="0" xfId="0" applyFont="1" applyFill="1" applyAlignment="1">
      <alignment horizontal="left" vertical="top" wrapText="1"/>
    </xf>
    <xf numFmtId="0" fontId="12" fillId="3" borderId="0" xfId="0" applyFont="1" applyFill="1" applyAlignment="1">
      <alignment horizontal="left" vertical="top" wrapText="1"/>
    </xf>
    <xf numFmtId="0" fontId="13" fillId="3" borderId="0" xfId="0" applyFont="1" applyFill="1" applyAlignment="1">
      <alignment horizontal="left" vertical="top" wrapText="1"/>
    </xf>
    <xf numFmtId="0" fontId="1" fillId="0" borderId="0" xfId="0" applyFont="1"/>
    <xf numFmtId="0" fontId="14" fillId="3" borderId="0" xfId="0" applyFont="1" applyFill="1" applyAlignment="1">
      <alignment horizontal="left" vertical="top" wrapText="1"/>
    </xf>
    <xf numFmtId="0" fontId="15" fillId="3" borderId="0" xfId="0" applyFont="1" applyFill="1" applyAlignment="1">
      <alignment horizontal="left" vertical="top" wrapText="1"/>
    </xf>
    <xf numFmtId="0" fontId="16" fillId="0" borderId="0" xfId="0" applyFont="1"/>
    <xf numFmtId="0" fontId="17" fillId="2" borderId="0" xfId="0" applyFont="1" applyFill="1" applyAlignment="1">
      <alignment horizontal="left" vertical="top" wrapText="1"/>
    </xf>
    <xf numFmtId="0" fontId="17" fillId="2" borderId="1" xfId="0" applyFont="1" applyFill="1" applyBorder="1" applyAlignment="1">
      <alignment horizontal="center" vertical="center" wrapText="1"/>
    </xf>
    <xf numFmtId="0" fontId="9" fillId="4" borderId="1" xfId="0" applyFont="1" applyFill="1" applyBorder="1" applyAlignment="1">
      <alignment horizontal="left" vertical="top" wrapText="1"/>
    </xf>
    <xf numFmtId="166" fontId="9" fillId="4" borderId="1" xfId="0" applyNumberFormat="1" applyFont="1" applyFill="1" applyBorder="1" applyAlignment="1">
      <alignment horizontal="left" vertical="top" wrapText="1"/>
    </xf>
    <xf numFmtId="9" fontId="9" fillId="4" borderId="1" xfId="2" applyFont="1" applyFill="1" applyBorder="1" applyAlignment="1">
      <alignment horizontal="left" vertical="top" wrapText="1"/>
    </xf>
    <xf numFmtId="167" fontId="9" fillId="4" borderId="1" xfId="0" applyNumberFormat="1" applyFont="1" applyFill="1" applyBorder="1" applyAlignment="1">
      <alignment horizontal="left" vertical="top" wrapText="1"/>
    </xf>
    <xf numFmtId="0" fontId="9" fillId="5" borderId="1" xfId="0" applyFont="1" applyFill="1" applyBorder="1" applyAlignment="1">
      <alignment horizontal="left" vertical="top" wrapText="1"/>
    </xf>
    <xf numFmtId="1" fontId="3" fillId="7" borderId="1" xfId="0" applyNumberFormat="1" applyFont="1" applyFill="1" applyBorder="1" applyAlignment="1">
      <alignment horizontal="center" vertical="center" wrapText="1"/>
    </xf>
    <xf numFmtId="1" fontId="3" fillId="0" borderId="0" xfId="0" applyNumberFormat="1" applyFont="1" applyFill="1" applyBorder="1" applyAlignment="1">
      <alignment horizontal="center" vertical="center" wrapText="1"/>
    </xf>
    <xf numFmtId="0" fontId="3" fillId="0" borderId="0" xfId="0" applyFont="1" applyFill="1" applyBorder="1" applyAlignment="1">
      <alignment horizontal="center" vertical="center" wrapText="1"/>
    </xf>
    <xf numFmtId="0" fontId="18" fillId="2" borderId="0" xfId="0" applyFont="1" applyFill="1" applyAlignment="1">
      <alignment horizontal="left" vertical="top" wrapText="1"/>
    </xf>
    <xf numFmtId="0" fontId="0" fillId="0" borderId="0" xfId="0" applyFont="1"/>
    <xf numFmtId="9" fontId="18" fillId="2" borderId="0" xfId="2" applyFont="1" applyFill="1" applyAlignment="1">
      <alignment horizontal="center" vertical="top" wrapText="1"/>
    </xf>
    <xf numFmtId="0" fontId="18" fillId="0" borderId="0" xfId="0" applyFont="1" applyFill="1" applyAlignment="1">
      <alignment horizontal="left" vertical="top" wrapText="1"/>
    </xf>
    <xf numFmtId="1" fontId="3" fillId="4" borderId="1" xfId="0" applyNumberFormat="1" applyFont="1" applyFill="1" applyBorder="1" applyAlignment="1">
      <alignment horizontal="center" vertical="center" wrapText="1"/>
    </xf>
  </cellXfs>
  <cellStyles count="3">
    <cellStyle name="Lien hypertexte" xfId="1" builtinId="8"/>
    <cellStyle name="Normal" xfId="0" builtinId="0"/>
    <cellStyle name="Pourcentage"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
  <sheetViews>
    <sheetView workbookViewId="0">
      <selection activeCell="B11" sqref="B11"/>
    </sheetView>
  </sheetViews>
  <sheetFormatPr baseColWidth="10" defaultColWidth="8.83203125" defaultRowHeight="15" x14ac:dyDescent="0.2"/>
  <cols>
    <col min="1" max="1" width="20" customWidth="1"/>
    <col min="2" max="2" width="40" customWidth="1"/>
    <col min="3" max="3" width="50" customWidth="1"/>
    <col min="4" max="4" width="15" customWidth="1"/>
  </cols>
  <sheetData>
    <row r="1" spans="1:4" ht="17" x14ac:dyDescent="0.2">
      <c r="A1" s="1" t="s">
        <v>0</v>
      </c>
      <c r="B1" s="1" t="s">
        <v>1</v>
      </c>
      <c r="C1" s="1" t="s">
        <v>2</v>
      </c>
      <c r="D1" s="1" t="s">
        <v>3</v>
      </c>
    </row>
    <row r="2" spans="1:4" x14ac:dyDescent="0.2">
      <c r="A2" s="2" t="s">
        <v>4</v>
      </c>
      <c r="B2" s="2" t="s">
        <v>5</v>
      </c>
      <c r="C2" s="2" t="s">
        <v>6</v>
      </c>
      <c r="D2" s="3" t="s">
        <v>7</v>
      </c>
    </row>
    <row r="3" spans="1:4" x14ac:dyDescent="0.2">
      <c r="A3" s="2" t="s">
        <v>4</v>
      </c>
      <c r="B3" s="2" t="s">
        <v>8</v>
      </c>
      <c r="C3" s="2" t="s">
        <v>9</v>
      </c>
      <c r="D3" s="3" t="s">
        <v>7</v>
      </c>
    </row>
    <row r="4" spans="1:4" x14ac:dyDescent="0.2">
      <c r="A4" s="2" t="s">
        <v>11</v>
      </c>
      <c r="B4" s="2" t="s">
        <v>12</v>
      </c>
      <c r="C4" s="2" t="s">
        <v>13</v>
      </c>
      <c r="D4" s="3" t="s">
        <v>7</v>
      </c>
    </row>
    <row r="5" spans="1:4" x14ac:dyDescent="0.2">
      <c r="A5" s="2" t="s">
        <v>11</v>
      </c>
      <c r="B5" s="2" t="s">
        <v>14</v>
      </c>
      <c r="C5" s="2" t="s">
        <v>15</v>
      </c>
      <c r="D5" s="3" t="s">
        <v>7</v>
      </c>
    </row>
    <row r="6" spans="1:4" x14ac:dyDescent="0.2">
      <c r="A6" s="2" t="s">
        <v>11</v>
      </c>
      <c r="B6" s="2" t="s">
        <v>16</v>
      </c>
      <c r="C6" s="2" t="s">
        <v>17</v>
      </c>
      <c r="D6" s="3" t="s">
        <v>7</v>
      </c>
    </row>
    <row r="7" spans="1:4" ht="30" x14ac:dyDescent="0.2">
      <c r="A7" s="2" t="s">
        <v>18</v>
      </c>
      <c r="B7" s="2" t="s">
        <v>19</v>
      </c>
      <c r="C7" s="2" t="s">
        <v>20</v>
      </c>
      <c r="D7" s="3" t="s">
        <v>7</v>
      </c>
    </row>
    <row r="8" spans="1:4" ht="30" x14ac:dyDescent="0.2">
      <c r="A8" s="2" t="s">
        <v>18</v>
      </c>
      <c r="B8" s="2" t="s">
        <v>21</v>
      </c>
      <c r="C8" s="2" t="s">
        <v>22</v>
      </c>
      <c r="D8" s="3" t="s">
        <v>7</v>
      </c>
    </row>
    <row r="9" spans="1:4" ht="30" x14ac:dyDescent="0.2">
      <c r="A9" s="2" t="s">
        <v>23</v>
      </c>
      <c r="B9" s="2" t="s">
        <v>24</v>
      </c>
      <c r="C9" s="2" t="s">
        <v>25</v>
      </c>
      <c r="D9" s="3" t="s">
        <v>7</v>
      </c>
    </row>
    <row r="10" spans="1:4" x14ac:dyDescent="0.2">
      <c r="A10" s="2" t="s">
        <v>26</v>
      </c>
      <c r="B10" s="2" t="s">
        <v>27</v>
      </c>
      <c r="C10" s="2" t="s">
        <v>28</v>
      </c>
      <c r="D10" s="3" t="s">
        <v>7</v>
      </c>
    </row>
  </sheetData>
  <hyperlinks>
    <hyperlink ref="D2" location="'Ex1_RenteConjoint'!A1" display="Ouvrir" xr:uid="{00000000-0004-0000-0000-000000000000}"/>
    <hyperlink ref="D3" location="'Ex2_RenteEducation'!A1" display="Ouvrir" xr:uid="{00000000-0004-0000-0000-000001000000}"/>
    <hyperlink ref="D4" location="'Ex4_IncapaciteTravail'!A1" display="Ouvrir" xr:uid="{00000000-0004-0000-0000-000003000000}"/>
    <hyperlink ref="D5" location="'Ex5_InvaliditeCours'!A1" display="Ouvrir" xr:uid="{00000000-0004-0000-0000-000004000000}"/>
    <hyperlink ref="D6" location="'Ex6_InvaliditeAttente'!A1" display="Ouvrir" xr:uid="{00000000-0004-0000-0000-000005000000}"/>
    <hyperlink ref="D7" location="'Ex7_PrimesLissees'!A1" display="Ouvrir" xr:uid="{00000000-0004-0000-0000-000006000000}"/>
    <hyperlink ref="D8" location="'Ex8_MaintienDeces'!A1" display="Ouvrir" xr:uid="{00000000-0004-0000-0000-000007000000}"/>
    <hyperlink ref="D9" location="'Ex9_DerniereAnnee'!A1" display="Ouvrir" xr:uid="{00000000-0004-0000-0000-000008000000}"/>
    <hyperlink ref="D10" location="'Ex10_ChainLadder'!A1" display="Ouvrir" xr:uid="{00000000-0004-0000-0000-000009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5"/>
  <sheetViews>
    <sheetView zoomScale="150" workbookViewId="0">
      <selection activeCell="A4" sqref="A4:E7"/>
    </sheetView>
  </sheetViews>
  <sheetFormatPr baseColWidth="10" defaultColWidth="8.83203125" defaultRowHeight="15" x14ac:dyDescent="0.2"/>
  <cols>
    <col min="1" max="1" width="30" customWidth="1"/>
    <col min="2" max="2" width="25" customWidth="1"/>
    <col min="3" max="3" width="15" customWidth="1"/>
    <col min="4" max="4" width="40" customWidth="1"/>
    <col min="5" max="5" width="30" customWidth="1"/>
    <col min="6" max="8" width="20" customWidth="1"/>
  </cols>
  <sheetData>
    <row r="1" spans="1:5" ht="16" x14ac:dyDescent="0.2">
      <c r="A1" s="10" t="s">
        <v>29</v>
      </c>
      <c r="B1" s="10"/>
      <c r="C1" s="10"/>
      <c r="D1" s="10"/>
      <c r="E1" s="10"/>
    </row>
    <row r="2" spans="1:5" x14ac:dyDescent="0.2">
      <c r="A2" s="23" t="s">
        <v>30</v>
      </c>
      <c r="B2" s="23"/>
      <c r="C2" s="23"/>
      <c r="D2" s="23"/>
      <c r="E2" s="23"/>
    </row>
    <row r="4" spans="1:5" x14ac:dyDescent="0.2">
      <c r="A4" s="9" t="s">
        <v>201</v>
      </c>
      <c r="B4" s="9"/>
      <c r="C4" s="9"/>
      <c r="D4" s="9"/>
      <c r="E4" s="9"/>
    </row>
    <row r="5" spans="1:5" x14ac:dyDescent="0.2">
      <c r="A5" s="9"/>
      <c r="B5" s="9"/>
      <c r="C5" s="9"/>
      <c r="D5" s="9"/>
      <c r="E5" s="9"/>
    </row>
    <row r="6" spans="1:5" x14ac:dyDescent="0.2">
      <c r="A6" s="9"/>
      <c r="B6" s="9"/>
      <c r="C6" s="9"/>
      <c r="D6" s="9"/>
      <c r="E6" s="9"/>
    </row>
    <row r="7" spans="1:5" ht="86" customHeight="1" x14ac:dyDescent="0.2">
      <c r="A7" s="9"/>
      <c r="B7" s="9"/>
      <c r="C7" s="9"/>
      <c r="D7" s="9"/>
      <c r="E7" s="9"/>
    </row>
    <row r="8" spans="1:5" ht="16" x14ac:dyDescent="0.2">
      <c r="A8" s="4" t="s">
        <v>31</v>
      </c>
      <c r="B8" s="4"/>
      <c r="C8" s="4"/>
      <c r="D8" s="4"/>
    </row>
    <row r="9" spans="1:5" ht="16" x14ac:dyDescent="0.2">
      <c r="A9" s="5" t="s">
        <v>32</v>
      </c>
      <c r="B9" s="5" t="s">
        <v>33</v>
      </c>
      <c r="C9" s="5" t="s">
        <v>34</v>
      </c>
      <c r="D9" s="5" t="s">
        <v>35</v>
      </c>
    </row>
    <row r="10" spans="1:5" x14ac:dyDescent="0.2">
      <c r="A10" s="6" t="s">
        <v>36</v>
      </c>
      <c r="B10" s="12">
        <v>10000</v>
      </c>
      <c r="C10" s="6" t="s">
        <v>37</v>
      </c>
      <c r="D10" s="6" t="s">
        <v>38</v>
      </c>
    </row>
    <row r="11" spans="1:5" x14ac:dyDescent="0.2">
      <c r="A11" s="6" t="s">
        <v>39</v>
      </c>
      <c r="B11" s="6">
        <v>57</v>
      </c>
      <c r="C11" s="6" t="s">
        <v>40</v>
      </c>
      <c r="D11" s="6" t="s">
        <v>41</v>
      </c>
    </row>
    <row r="12" spans="1:5" x14ac:dyDescent="0.2">
      <c r="A12" s="6" t="s">
        <v>195</v>
      </c>
      <c r="B12" s="15">
        <v>36.08</v>
      </c>
      <c r="C12" s="6"/>
      <c r="D12" s="6" t="s">
        <v>42</v>
      </c>
    </row>
    <row r="13" spans="1:5" x14ac:dyDescent="0.2">
      <c r="A13" s="6" t="s">
        <v>196</v>
      </c>
      <c r="B13" s="15">
        <v>29.567399999999999</v>
      </c>
      <c r="C13" s="6"/>
      <c r="D13" s="6" t="s">
        <v>42</v>
      </c>
    </row>
    <row r="15" spans="1:5" ht="16" x14ac:dyDescent="0.2">
      <c r="A15" s="4" t="s">
        <v>43</v>
      </c>
      <c r="B15" s="4"/>
      <c r="C15" s="4"/>
      <c r="D15" s="4"/>
    </row>
    <row r="16" spans="1:5" ht="16" x14ac:dyDescent="0.2">
      <c r="A16" s="5" t="s">
        <v>44</v>
      </c>
      <c r="B16" s="5" t="s">
        <v>45</v>
      </c>
      <c r="C16" s="5" t="s">
        <v>46</v>
      </c>
      <c r="D16" s="5" t="s">
        <v>35</v>
      </c>
    </row>
    <row r="17" spans="1:4" x14ac:dyDescent="0.2">
      <c r="A17" s="6" t="s">
        <v>47</v>
      </c>
      <c r="B17" s="6" t="s">
        <v>48</v>
      </c>
      <c r="C17" s="12">
        <f>B10*B12</f>
        <v>360800</v>
      </c>
      <c r="D17" s="6" t="s">
        <v>49</v>
      </c>
    </row>
    <row r="18" spans="1:4" x14ac:dyDescent="0.2">
      <c r="A18" s="6" t="s">
        <v>50</v>
      </c>
      <c r="B18" s="6" t="s">
        <v>51</v>
      </c>
      <c r="C18" s="12">
        <f>B10*B13</f>
        <v>295674</v>
      </c>
      <c r="D18" s="6" t="s">
        <v>52</v>
      </c>
    </row>
    <row r="19" spans="1:4" x14ac:dyDescent="0.2">
      <c r="A19" s="6" t="s">
        <v>53</v>
      </c>
      <c r="B19" s="11" t="s">
        <v>197</v>
      </c>
      <c r="C19" s="14">
        <f>(C18-C17)/C17</f>
        <v>-0.18050443458980045</v>
      </c>
      <c r="D19" s="6" t="s">
        <v>54</v>
      </c>
    </row>
    <row r="21" spans="1:4" ht="16" x14ac:dyDescent="0.2">
      <c r="A21" s="4" t="s">
        <v>55</v>
      </c>
      <c r="B21" s="4"/>
      <c r="C21" s="4"/>
      <c r="D21" s="4"/>
    </row>
    <row r="22" spans="1:4" ht="16" x14ac:dyDescent="0.2">
      <c r="A22" s="5" t="s">
        <v>56</v>
      </c>
      <c r="B22" s="5" t="s">
        <v>57</v>
      </c>
      <c r="C22" s="5" t="s">
        <v>33</v>
      </c>
      <c r="D22" s="5" t="s">
        <v>58</v>
      </c>
    </row>
    <row r="23" spans="1:4" x14ac:dyDescent="0.2">
      <c r="A23" s="6" t="s">
        <v>59</v>
      </c>
      <c r="B23" s="6" t="s">
        <v>60</v>
      </c>
      <c r="C23" s="12">
        <f>C17</f>
        <v>360800</v>
      </c>
      <c r="D23" s="6" t="s">
        <v>61</v>
      </c>
    </row>
    <row r="24" spans="1:4" x14ac:dyDescent="0.2">
      <c r="A24" s="6" t="s">
        <v>62</v>
      </c>
      <c r="B24" s="6" t="s">
        <v>63</v>
      </c>
      <c r="C24" s="12">
        <f>C18</f>
        <v>295674</v>
      </c>
      <c r="D24" s="6" t="s">
        <v>64</v>
      </c>
    </row>
    <row r="25" spans="1:4" x14ac:dyDescent="0.2">
      <c r="A25" s="6" t="s">
        <v>53</v>
      </c>
      <c r="B25" s="6" t="s">
        <v>65</v>
      </c>
      <c r="C25" s="14">
        <f>C19</f>
        <v>-0.18050443458980045</v>
      </c>
      <c r="D25" s="6" t="s">
        <v>10</v>
      </c>
    </row>
  </sheetData>
  <mergeCells count="3">
    <mergeCell ref="A2:E2"/>
    <mergeCell ref="A1:E1"/>
    <mergeCell ref="A4:E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6"/>
  <sheetViews>
    <sheetView tabSelected="1" topLeftCell="A4" zoomScale="147" zoomScaleNormal="147" workbookViewId="0">
      <selection sqref="A1:E1"/>
    </sheetView>
  </sheetViews>
  <sheetFormatPr baseColWidth="10" defaultColWidth="8.83203125" defaultRowHeight="15" x14ac:dyDescent="0.2"/>
  <cols>
    <col min="1" max="1" width="30" customWidth="1"/>
    <col min="2" max="2" width="25" customWidth="1"/>
    <col min="3" max="3" width="15" customWidth="1"/>
    <col min="4" max="4" width="40" customWidth="1"/>
    <col min="5" max="5" width="30" customWidth="1"/>
    <col min="6" max="8" width="20" customWidth="1"/>
  </cols>
  <sheetData>
    <row r="1" spans="1:5" ht="19" x14ac:dyDescent="0.2">
      <c r="A1" s="18" t="s">
        <v>67</v>
      </c>
      <c r="B1" s="18"/>
      <c r="C1" s="18"/>
      <c r="D1" s="18"/>
      <c r="E1" s="18"/>
    </row>
    <row r="2" spans="1:5" ht="16" x14ac:dyDescent="0.2">
      <c r="A2" s="27" t="s">
        <v>68</v>
      </c>
      <c r="B2" s="27"/>
      <c r="C2" s="27"/>
      <c r="D2" s="27"/>
      <c r="E2" s="27"/>
    </row>
    <row r="4" spans="1:5" x14ac:dyDescent="0.2">
      <c r="A4" s="17" t="s">
        <v>200</v>
      </c>
      <c r="B4" s="17"/>
      <c r="C4" s="17"/>
      <c r="D4" s="17"/>
      <c r="E4" s="17"/>
    </row>
    <row r="5" spans="1:5" x14ac:dyDescent="0.2">
      <c r="A5" s="17"/>
      <c r="B5" s="17"/>
      <c r="C5" s="17"/>
      <c r="D5" s="17"/>
      <c r="E5" s="17"/>
    </row>
    <row r="6" spans="1:5" x14ac:dyDescent="0.2">
      <c r="A6" s="17"/>
      <c r="B6" s="17"/>
      <c r="C6" s="17"/>
      <c r="D6" s="17"/>
      <c r="E6" s="17"/>
    </row>
    <row r="7" spans="1:5" ht="61" customHeight="1" x14ac:dyDescent="0.2">
      <c r="A7" s="17"/>
      <c r="B7" s="17"/>
      <c r="C7" s="17"/>
      <c r="D7" s="17"/>
      <c r="E7" s="17"/>
    </row>
    <row r="8" spans="1:5" ht="16" x14ac:dyDescent="0.2">
      <c r="A8" s="4" t="s">
        <v>31</v>
      </c>
      <c r="B8" s="4"/>
      <c r="C8" s="4"/>
      <c r="D8" s="4"/>
    </row>
    <row r="9" spans="1:5" ht="16" x14ac:dyDescent="0.2">
      <c r="A9" s="5" t="s">
        <v>32</v>
      </c>
      <c r="B9" s="5" t="s">
        <v>33</v>
      </c>
      <c r="C9" s="5" t="s">
        <v>34</v>
      </c>
      <c r="D9" s="5" t="s">
        <v>35</v>
      </c>
    </row>
    <row r="10" spans="1:5" x14ac:dyDescent="0.2">
      <c r="A10" s="6" t="s">
        <v>69</v>
      </c>
      <c r="B10" s="6">
        <v>1000</v>
      </c>
      <c r="C10" s="6" t="s">
        <v>37</v>
      </c>
      <c r="D10" s="6" t="s">
        <v>70</v>
      </c>
    </row>
    <row r="11" spans="1:5" x14ac:dyDescent="0.2">
      <c r="A11" s="6" t="s">
        <v>41</v>
      </c>
      <c r="B11" s="6">
        <v>18</v>
      </c>
      <c r="C11" s="6" t="s">
        <v>40</v>
      </c>
      <c r="D11" s="6" t="s">
        <v>71</v>
      </c>
    </row>
    <row r="12" spans="1:5" x14ac:dyDescent="0.2">
      <c r="A12" s="6" t="s">
        <v>72</v>
      </c>
      <c r="B12" s="6">
        <v>8</v>
      </c>
      <c r="C12" s="6" t="s">
        <v>40</v>
      </c>
      <c r="D12" s="6" t="s">
        <v>73</v>
      </c>
    </row>
    <row r="13" spans="1:5" x14ac:dyDescent="0.2">
      <c r="A13" s="6" t="s">
        <v>198</v>
      </c>
      <c r="B13" s="6">
        <v>7.9960000000000004</v>
      </c>
      <c r="C13" s="6"/>
      <c r="D13" s="6" t="s">
        <v>74</v>
      </c>
    </row>
    <row r="14" spans="1:5" x14ac:dyDescent="0.2">
      <c r="A14" s="6" t="s">
        <v>199</v>
      </c>
      <c r="B14" s="6">
        <v>7.6479999999999997</v>
      </c>
      <c r="C14" s="6"/>
      <c r="D14" s="6" t="s">
        <v>74</v>
      </c>
    </row>
    <row r="16" spans="1:5" ht="16" x14ac:dyDescent="0.2">
      <c r="A16" s="4" t="s">
        <v>43</v>
      </c>
      <c r="B16" s="4"/>
      <c r="C16" s="4"/>
      <c r="D16" s="4"/>
    </row>
    <row r="17" spans="1:4" ht="16" x14ac:dyDescent="0.2">
      <c r="A17" s="5" t="s">
        <v>44</v>
      </c>
      <c r="B17" s="5" t="s">
        <v>45</v>
      </c>
      <c r="C17" s="5" t="s">
        <v>46</v>
      </c>
      <c r="D17" s="5" t="s">
        <v>35</v>
      </c>
    </row>
    <row r="18" spans="1:4" x14ac:dyDescent="0.2">
      <c r="A18" s="6" t="s">
        <v>59</v>
      </c>
      <c r="B18" s="6" t="s">
        <v>51</v>
      </c>
      <c r="C18" s="12">
        <f>B10*B13</f>
        <v>7996</v>
      </c>
      <c r="D18" s="6" t="s">
        <v>202</v>
      </c>
    </row>
    <row r="19" spans="1:4" x14ac:dyDescent="0.2">
      <c r="A19" s="6" t="s">
        <v>62</v>
      </c>
      <c r="B19" s="6" t="s">
        <v>75</v>
      </c>
      <c r="C19" s="12">
        <f>B10*B14</f>
        <v>7648</v>
      </c>
      <c r="D19" s="6" t="s">
        <v>203</v>
      </c>
    </row>
    <row r="20" spans="1:4" x14ac:dyDescent="0.2">
      <c r="A20" s="6" t="s">
        <v>53</v>
      </c>
      <c r="B20" s="6" t="s">
        <v>76</v>
      </c>
      <c r="C20" s="14">
        <f>(C19-C18)/C18</f>
        <v>-4.352176088044022E-2</v>
      </c>
      <c r="D20" s="6" t="s">
        <v>54</v>
      </c>
    </row>
    <row r="22" spans="1:4" ht="16" x14ac:dyDescent="0.2">
      <c r="A22" s="4" t="s">
        <v>55</v>
      </c>
      <c r="B22" s="4"/>
      <c r="C22" s="4"/>
      <c r="D22" s="4"/>
    </row>
    <row r="23" spans="1:4" ht="16" x14ac:dyDescent="0.2">
      <c r="A23" s="5" t="s">
        <v>56</v>
      </c>
      <c r="B23" s="5" t="s">
        <v>57</v>
      </c>
      <c r="C23" s="5" t="s">
        <v>33</v>
      </c>
      <c r="D23" s="5" t="s">
        <v>58</v>
      </c>
    </row>
    <row r="24" spans="1:4" x14ac:dyDescent="0.2">
      <c r="A24" s="6" t="s">
        <v>59</v>
      </c>
      <c r="B24" s="6" t="s">
        <v>63</v>
      </c>
      <c r="C24" s="12">
        <f>C18</f>
        <v>7996</v>
      </c>
      <c r="D24" s="6" t="s">
        <v>77</v>
      </c>
    </row>
    <row r="25" spans="1:4" x14ac:dyDescent="0.2">
      <c r="A25" s="6" t="s">
        <v>62</v>
      </c>
      <c r="B25" s="6" t="s">
        <v>65</v>
      </c>
      <c r="C25" s="12">
        <f>C19</f>
        <v>7648</v>
      </c>
      <c r="D25" s="6" t="s">
        <v>78</v>
      </c>
    </row>
    <row r="26" spans="1:4" x14ac:dyDescent="0.2">
      <c r="A26" s="6" t="s">
        <v>53</v>
      </c>
      <c r="B26" s="6" t="s">
        <v>79</v>
      </c>
      <c r="C26" s="14">
        <f>C20</f>
        <v>-4.352176088044022E-2</v>
      </c>
      <c r="D26" s="6" t="s">
        <v>10</v>
      </c>
    </row>
  </sheetData>
  <mergeCells count="3">
    <mergeCell ref="A2:E2"/>
    <mergeCell ref="A1:E1"/>
    <mergeCell ref="A4:E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2"/>
  <sheetViews>
    <sheetView workbookViewId="0">
      <selection activeCell="C16" sqref="C16"/>
    </sheetView>
  </sheetViews>
  <sheetFormatPr baseColWidth="10" defaultColWidth="8.83203125" defaultRowHeight="15" x14ac:dyDescent="0.2"/>
  <cols>
    <col min="1" max="1" width="30" customWidth="1"/>
    <col min="2" max="2" width="25" customWidth="1"/>
    <col min="3" max="3" width="15" customWidth="1"/>
    <col min="4" max="4" width="40" customWidth="1"/>
    <col min="5" max="5" width="30" customWidth="1"/>
    <col min="6" max="8" width="20" customWidth="1"/>
  </cols>
  <sheetData>
    <row r="1" spans="1:11" ht="19" x14ac:dyDescent="0.2">
      <c r="A1" s="18" t="s">
        <v>80</v>
      </c>
      <c r="B1" s="18"/>
      <c r="C1" s="18"/>
      <c r="D1" s="18"/>
      <c r="E1" s="18"/>
    </row>
    <row r="2" spans="1:11" ht="16" x14ac:dyDescent="0.2">
      <c r="A2" s="26" t="s">
        <v>81</v>
      </c>
      <c r="B2" s="26"/>
      <c r="C2" s="26"/>
      <c r="D2" s="26"/>
      <c r="E2" s="26"/>
    </row>
    <row r="3" spans="1:11" ht="16" x14ac:dyDescent="0.2">
      <c r="A3" s="25"/>
      <c r="B3" s="25"/>
      <c r="C3" s="25"/>
      <c r="D3" s="25"/>
      <c r="E3" s="25"/>
    </row>
    <row r="4" spans="1:11" x14ac:dyDescent="0.2">
      <c r="A4" s="24" t="s">
        <v>207</v>
      </c>
      <c r="B4" s="24"/>
      <c r="C4" s="24"/>
      <c r="D4" s="24"/>
      <c r="E4" s="24"/>
    </row>
    <row r="5" spans="1:11" x14ac:dyDescent="0.2">
      <c r="A5" s="24"/>
      <c r="B5" s="24"/>
      <c r="C5" s="24"/>
      <c r="D5" s="24"/>
      <c r="E5" s="24"/>
    </row>
    <row r="6" spans="1:11" x14ac:dyDescent="0.2">
      <c r="A6" s="24"/>
      <c r="B6" s="24"/>
      <c r="C6" s="24"/>
      <c r="D6" s="24"/>
      <c r="E6" s="24"/>
    </row>
    <row r="7" spans="1:11" ht="85" customHeight="1" x14ac:dyDescent="0.2">
      <c r="A7" s="24"/>
      <c r="B7" s="24"/>
      <c r="C7" s="24"/>
      <c r="D7" s="24"/>
      <c r="E7" s="24"/>
    </row>
    <row r="8" spans="1:11" ht="16" x14ac:dyDescent="0.2">
      <c r="A8" s="4" t="s">
        <v>31</v>
      </c>
      <c r="B8" s="4"/>
      <c r="C8" s="4"/>
      <c r="D8" s="4"/>
    </row>
    <row r="9" spans="1:11" ht="16" x14ac:dyDescent="0.2">
      <c r="A9" s="5" t="s">
        <v>32</v>
      </c>
      <c r="B9" s="5" t="s">
        <v>33</v>
      </c>
      <c r="C9" s="5" t="s">
        <v>34</v>
      </c>
      <c r="D9" s="5" t="s">
        <v>35</v>
      </c>
      <c r="F9" s="5" t="s">
        <v>82</v>
      </c>
      <c r="G9" s="5">
        <v>0</v>
      </c>
      <c r="H9" s="5">
        <v>1</v>
      </c>
      <c r="I9" s="5">
        <v>2</v>
      </c>
      <c r="J9" s="5">
        <v>3</v>
      </c>
      <c r="K9" s="5">
        <v>4</v>
      </c>
    </row>
    <row r="10" spans="1:11" x14ac:dyDescent="0.2">
      <c r="A10" s="6" t="s">
        <v>83</v>
      </c>
      <c r="B10" s="6">
        <v>100</v>
      </c>
      <c r="C10" s="6" t="s">
        <v>37</v>
      </c>
      <c r="D10" s="6" t="s">
        <v>84</v>
      </c>
      <c r="F10" s="8">
        <v>42</v>
      </c>
      <c r="G10" s="8">
        <v>3.37</v>
      </c>
      <c r="H10" s="8">
        <v>5.9</v>
      </c>
      <c r="I10" s="8">
        <v>7.75</v>
      </c>
      <c r="J10" s="8">
        <v>9.09</v>
      </c>
      <c r="K10" s="8">
        <v>10.119999999999999</v>
      </c>
    </row>
    <row r="11" spans="1:11" x14ac:dyDescent="0.2">
      <c r="A11" s="6" t="s">
        <v>85</v>
      </c>
      <c r="B11" s="6">
        <v>43</v>
      </c>
      <c r="C11" s="6" t="s">
        <v>40</v>
      </c>
      <c r="D11" s="6" t="s">
        <v>86</v>
      </c>
      <c r="F11" s="8">
        <v>43</v>
      </c>
      <c r="G11" s="8">
        <v>3.58</v>
      </c>
      <c r="H11" s="8">
        <v>6.16</v>
      </c>
      <c r="I11" s="8">
        <v>8.0399999999999991</v>
      </c>
      <c r="J11" s="8">
        <v>9.4</v>
      </c>
      <c r="K11" s="8">
        <v>10.46</v>
      </c>
    </row>
    <row r="12" spans="1:11" x14ac:dyDescent="0.2">
      <c r="A12" s="6" t="s">
        <v>87</v>
      </c>
      <c r="B12" s="6">
        <v>3</v>
      </c>
      <c r="C12" s="6" t="s">
        <v>88</v>
      </c>
      <c r="D12" s="6" t="s">
        <v>89</v>
      </c>
      <c r="F12" s="8">
        <v>44</v>
      </c>
      <c r="G12" s="8">
        <v>3.69</v>
      </c>
      <c r="H12" s="8">
        <v>6.28</v>
      </c>
      <c r="I12" s="8">
        <v>8.15</v>
      </c>
      <c r="J12" s="8">
        <v>9.5399999999999991</v>
      </c>
      <c r="K12" s="8">
        <v>10.61</v>
      </c>
    </row>
    <row r="14" spans="1:11" ht="16" x14ac:dyDescent="0.2">
      <c r="A14" s="4" t="s">
        <v>43</v>
      </c>
      <c r="B14" s="4"/>
      <c r="C14" s="4"/>
      <c r="D14" s="4"/>
    </row>
    <row r="15" spans="1:11" ht="16" x14ac:dyDescent="0.2">
      <c r="A15" s="5" t="s">
        <v>44</v>
      </c>
      <c r="B15" s="5" t="s">
        <v>45</v>
      </c>
      <c r="C15" s="5" t="s">
        <v>46</v>
      </c>
      <c r="D15" s="5" t="s">
        <v>35</v>
      </c>
    </row>
    <row r="16" spans="1:11" ht="45" x14ac:dyDescent="0.2">
      <c r="A16" s="6" t="s">
        <v>90</v>
      </c>
      <c r="B16" s="11" t="s">
        <v>204</v>
      </c>
      <c r="C16" s="6">
        <f>INDEX($G$10:$K$12, MATCH(B11, $F$10:$F$12, 0), MATCH(B12, $G$9:$K$9, 0))</f>
        <v>9.4</v>
      </c>
      <c r="D16" s="6" t="s">
        <v>91</v>
      </c>
    </row>
    <row r="17" spans="1:4" x14ac:dyDescent="0.2">
      <c r="A17" s="6" t="s">
        <v>92</v>
      </c>
      <c r="B17" s="6" t="s">
        <v>93</v>
      </c>
      <c r="C17" s="6">
        <f>B10*C16</f>
        <v>940</v>
      </c>
      <c r="D17" s="6" t="s">
        <v>94</v>
      </c>
    </row>
    <row r="19" spans="1:4" ht="16" x14ac:dyDescent="0.2">
      <c r="A19" s="4" t="s">
        <v>205</v>
      </c>
      <c r="B19" s="4"/>
      <c r="C19" s="4"/>
      <c r="D19" s="4"/>
    </row>
    <row r="20" spans="1:4" ht="16" x14ac:dyDescent="0.2">
      <c r="A20" s="5" t="s">
        <v>44</v>
      </c>
      <c r="B20" s="5" t="s">
        <v>57</v>
      </c>
      <c r="C20" s="5" t="s">
        <v>46</v>
      </c>
      <c r="D20" s="5" t="s">
        <v>35</v>
      </c>
    </row>
    <row r="21" spans="1:4" x14ac:dyDescent="0.2">
      <c r="A21" s="7" t="s">
        <v>90</v>
      </c>
      <c r="B21" s="7" t="s">
        <v>95</v>
      </c>
      <c r="C21" s="7">
        <v>9.4</v>
      </c>
      <c r="D21" s="7" t="s">
        <v>96</v>
      </c>
    </row>
    <row r="22" spans="1:4" x14ac:dyDescent="0.2">
      <c r="A22" s="7" t="s">
        <v>92</v>
      </c>
      <c r="B22" s="7" t="s">
        <v>97</v>
      </c>
      <c r="C22" s="7">
        <v>940</v>
      </c>
      <c r="D22" s="7" t="s">
        <v>98</v>
      </c>
    </row>
  </sheetData>
  <mergeCells count="3">
    <mergeCell ref="A2:E2"/>
    <mergeCell ref="A1:E1"/>
    <mergeCell ref="A4:E7"/>
  </mergeCells>
  <pageMargins left="0.75" right="0.75" top="1" bottom="1" header="0.5" footer="0.5"/>
  <ignoredErrors>
    <ignoredError sqref="B21:B22"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2"/>
  <sheetViews>
    <sheetView workbookViewId="0">
      <selection activeCell="A4" sqref="A4:E7"/>
    </sheetView>
  </sheetViews>
  <sheetFormatPr baseColWidth="10" defaultColWidth="8.83203125" defaultRowHeight="15" x14ac:dyDescent="0.2"/>
  <cols>
    <col min="1" max="1" width="30" customWidth="1"/>
    <col min="2" max="2" width="25" customWidth="1"/>
    <col min="3" max="3" width="15" customWidth="1"/>
    <col min="4" max="4" width="40" customWidth="1"/>
    <col min="5" max="5" width="30" customWidth="1"/>
    <col min="6" max="8" width="20" customWidth="1"/>
  </cols>
  <sheetData>
    <row r="1" spans="1:11" ht="19" x14ac:dyDescent="0.2">
      <c r="A1" s="18" t="s">
        <v>99</v>
      </c>
      <c r="B1" s="18"/>
      <c r="C1" s="18"/>
      <c r="D1" s="18"/>
      <c r="E1" s="18"/>
    </row>
    <row r="2" spans="1:11" ht="16" x14ac:dyDescent="0.2">
      <c r="A2" s="22" t="s">
        <v>100</v>
      </c>
      <c r="B2" s="22"/>
      <c r="C2" s="22"/>
      <c r="D2" s="22"/>
      <c r="E2" s="22"/>
    </row>
    <row r="3" spans="1:11" ht="16" x14ac:dyDescent="0.2">
      <c r="A3" s="20"/>
      <c r="B3" s="20"/>
      <c r="C3" s="20"/>
      <c r="D3" s="20"/>
      <c r="E3" s="20"/>
    </row>
    <row r="4" spans="1:11" x14ac:dyDescent="0.2">
      <c r="A4" s="19" t="s">
        <v>206</v>
      </c>
      <c r="B4" s="19"/>
      <c r="C4" s="19"/>
      <c r="D4" s="19"/>
      <c r="E4" s="19"/>
    </row>
    <row r="5" spans="1:11" x14ac:dyDescent="0.2">
      <c r="A5" s="19"/>
      <c r="B5" s="19"/>
      <c r="C5" s="19"/>
      <c r="D5" s="19"/>
      <c r="E5" s="19"/>
    </row>
    <row r="6" spans="1:11" x14ac:dyDescent="0.2">
      <c r="A6" s="19"/>
      <c r="B6" s="19"/>
      <c r="C6" s="19"/>
      <c r="D6" s="19"/>
      <c r="E6" s="19"/>
    </row>
    <row r="7" spans="1:11" ht="63" customHeight="1" x14ac:dyDescent="0.2">
      <c r="A7" s="19"/>
      <c r="B7" s="19"/>
      <c r="C7" s="19"/>
      <c r="D7" s="19"/>
      <c r="E7" s="19"/>
    </row>
    <row r="8" spans="1:11" ht="16" x14ac:dyDescent="0.2">
      <c r="A8" s="4" t="s">
        <v>31</v>
      </c>
      <c r="B8" s="4"/>
      <c r="C8" s="4"/>
      <c r="D8" s="4"/>
    </row>
    <row r="9" spans="1:11" ht="16" x14ac:dyDescent="0.2">
      <c r="A9" s="5" t="s">
        <v>32</v>
      </c>
      <c r="B9" s="5" t="s">
        <v>33</v>
      </c>
      <c r="C9" s="5" t="s">
        <v>34</v>
      </c>
      <c r="D9" s="5" t="s">
        <v>35</v>
      </c>
      <c r="F9" s="5" t="s">
        <v>101</v>
      </c>
      <c r="G9" s="5">
        <v>0</v>
      </c>
      <c r="H9" s="5">
        <v>1</v>
      </c>
      <c r="I9" s="5">
        <v>2</v>
      </c>
      <c r="J9" s="5">
        <v>3</v>
      </c>
      <c r="K9" s="5">
        <v>4</v>
      </c>
    </row>
    <row r="10" spans="1:11" x14ac:dyDescent="0.2">
      <c r="A10" s="6" t="s">
        <v>69</v>
      </c>
      <c r="B10" s="6">
        <v>1000</v>
      </c>
      <c r="C10" s="6" t="s">
        <v>37</v>
      </c>
      <c r="D10" s="6" t="s">
        <v>102</v>
      </c>
      <c r="F10" s="8">
        <v>51</v>
      </c>
      <c r="G10" s="8">
        <v>8.67</v>
      </c>
      <c r="H10" s="8">
        <v>7.98</v>
      </c>
      <c r="I10" s="8">
        <v>7.29</v>
      </c>
      <c r="J10" s="8">
        <v>6.6</v>
      </c>
      <c r="K10" s="8">
        <v>5.9</v>
      </c>
    </row>
    <row r="11" spans="1:11" x14ac:dyDescent="0.2">
      <c r="A11" s="6" t="s">
        <v>41</v>
      </c>
      <c r="B11" s="6">
        <v>54</v>
      </c>
      <c r="C11" s="6" t="s">
        <v>40</v>
      </c>
      <c r="D11" s="6" t="s">
        <v>86</v>
      </c>
      <c r="F11" s="8">
        <v>52</v>
      </c>
      <c r="G11" s="8">
        <v>8.07</v>
      </c>
      <c r="H11" s="8">
        <v>7.32</v>
      </c>
      <c r="I11" s="8">
        <v>6.59</v>
      </c>
      <c r="J11" s="8">
        <v>5.88</v>
      </c>
      <c r="K11" s="8">
        <v>5.15</v>
      </c>
    </row>
    <row r="12" spans="1:11" x14ac:dyDescent="0.2">
      <c r="A12" s="6" t="s">
        <v>103</v>
      </c>
      <c r="B12" s="6">
        <v>2</v>
      </c>
      <c r="C12" s="6" t="s">
        <v>40</v>
      </c>
      <c r="D12" s="6" t="s">
        <v>104</v>
      </c>
      <c r="F12" s="8">
        <v>53</v>
      </c>
      <c r="G12" s="8">
        <v>7.37</v>
      </c>
      <c r="H12" s="8">
        <v>6.62</v>
      </c>
      <c r="I12" s="8">
        <v>5.88</v>
      </c>
      <c r="J12" s="8">
        <v>5.13</v>
      </c>
      <c r="K12" s="8">
        <v>4.38</v>
      </c>
    </row>
    <row r="13" spans="1:11" x14ac:dyDescent="0.2">
      <c r="A13" s="6" t="s">
        <v>105</v>
      </c>
      <c r="B13" s="6">
        <f>B11 - B12</f>
        <v>52</v>
      </c>
      <c r="C13" s="6" t="s">
        <v>40</v>
      </c>
      <c r="D13" s="6" t="s">
        <v>106</v>
      </c>
    </row>
    <row r="14" spans="1:11" ht="16" x14ac:dyDescent="0.2">
      <c r="A14" s="4" t="s">
        <v>43</v>
      </c>
      <c r="B14" s="4"/>
      <c r="C14" s="4"/>
      <c r="D14" s="4"/>
    </row>
    <row r="15" spans="1:11" ht="16" x14ac:dyDescent="0.2">
      <c r="A15" s="5" t="s">
        <v>44</v>
      </c>
      <c r="B15" s="5" t="s">
        <v>45</v>
      </c>
      <c r="C15" s="5" t="s">
        <v>46</v>
      </c>
      <c r="D15" s="5" t="s">
        <v>35</v>
      </c>
    </row>
    <row r="16" spans="1:11" ht="45" x14ac:dyDescent="0.2">
      <c r="A16" s="6" t="s">
        <v>90</v>
      </c>
      <c r="B16" s="11" t="s">
        <v>208</v>
      </c>
      <c r="C16" s="6">
        <f>INDEX($G$10:$K$12, MATCH(B13, $F$10:$F$12, 0), MATCH(B12, $G$9:$K$9, 0))</f>
        <v>6.59</v>
      </c>
      <c r="D16" s="6" t="s">
        <v>107</v>
      </c>
    </row>
    <row r="17" spans="1:4" x14ac:dyDescent="0.2">
      <c r="A17" s="6" t="s">
        <v>92</v>
      </c>
      <c r="B17" s="6" t="s">
        <v>93</v>
      </c>
      <c r="C17" s="6">
        <f>B10*C16</f>
        <v>6590</v>
      </c>
      <c r="D17" s="6" t="s">
        <v>108</v>
      </c>
    </row>
    <row r="19" spans="1:4" ht="16" x14ac:dyDescent="0.2">
      <c r="A19" s="4" t="s">
        <v>205</v>
      </c>
      <c r="B19" s="4"/>
      <c r="C19" s="4"/>
      <c r="D19" s="4"/>
    </row>
    <row r="20" spans="1:4" ht="16" x14ac:dyDescent="0.2">
      <c r="A20" s="5" t="s">
        <v>44</v>
      </c>
      <c r="B20" s="5" t="s">
        <v>57</v>
      </c>
      <c r="C20" s="5" t="s">
        <v>46</v>
      </c>
      <c r="D20" s="5" t="s">
        <v>35</v>
      </c>
    </row>
    <row r="21" spans="1:4" x14ac:dyDescent="0.2">
      <c r="A21" s="7" t="s">
        <v>90</v>
      </c>
      <c r="B21" s="7" t="s">
        <v>109</v>
      </c>
      <c r="C21" s="7">
        <v>6.59</v>
      </c>
      <c r="D21" s="7" t="s">
        <v>110</v>
      </c>
    </row>
    <row r="22" spans="1:4" x14ac:dyDescent="0.2">
      <c r="A22" s="7" t="s">
        <v>92</v>
      </c>
      <c r="B22" s="7" t="s">
        <v>111</v>
      </c>
      <c r="C22" s="7">
        <v>6590</v>
      </c>
      <c r="D22" s="7" t="s">
        <v>112</v>
      </c>
    </row>
  </sheetData>
  <mergeCells count="3">
    <mergeCell ref="A2:E2"/>
    <mergeCell ref="A1:E1"/>
    <mergeCell ref="A4:E7"/>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2"/>
  <sheetViews>
    <sheetView workbookViewId="0">
      <selection activeCell="B21" sqref="B21"/>
    </sheetView>
  </sheetViews>
  <sheetFormatPr baseColWidth="10" defaultColWidth="8.83203125" defaultRowHeight="15" x14ac:dyDescent="0.2"/>
  <cols>
    <col min="1" max="1" width="30" customWidth="1"/>
    <col min="2" max="2" width="25" customWidth="1"/>
    <col min="3" max="3" width="15" customWidth="1"/>
    <col min="4" max="4" width="40" customWidth="1"/>
    <col min="5" max="5" width="30" customWidth="1"/>
    <col min="6" max="8" width="20" customWidth="1"/>
  </cols>
  <sheetData>
    <row r="1" spans="1:11" ht="19" x14ac:dyDescent="0.2">
      <c r="A1" s="18" t="s">
        <v>113</v>
      </c>
      <c r="B1" s="18"/>
      <c r="C1" s="18"/>
      <c r="D1" s="18"/>
      <c r="E1" s="18"/>
    </row>
    <row r="2" spans="1:11" ht="16" x14ac:dyDescent="0.2">
      <c r="A2" s="22" t="s">
        <v>114</v>
      </c>
      <c r="B2" s="22"/>
      <c r="C2" s="22"/>
      <c r="D2" s="22"/>
      <c r="E2" s="22"/>
    </row>
    <row r="3" spans="1:11" ht="16" x14ac:dyDescent="0.2">
      <c r="A3" s="20"/>
      <c r="B3" s="20"/>
      <c r="C3" s="20"/>
      <c r="D3" s="20"/>
      <c r="E3" s="20"/>
    </row>
    <row r="4" spans="1:11" x14ac:dyDescent="0.2">
      <c r="A4" s="19" t="s">
        <v>209</v>
      </c>
      <c r="B4" s="19"/>
      <c r="C4" s="19"/>
      <c r="D4" s="19"/>
      <c r="E4" s="19"/>
    </row>
    <row r="5" spans="1:11" x14ac:dyDescent="0.2">
      <c r="A5" s="19"/>
      <c r="B5" s="19"/>
      <c r="C5" s="19"/>
      <c r="D5" s="19"/>
      <c r="E5" s="19"/>
    </row>
    <row r="6" spans="1:11" x14ac:dyDescent="0.2">
      <c r="A6" s="19"/>
      <c r="B6" s="19"/>
      <c r="C6" s="19"/>
      <c r="D6" s="19"/>
      <c r="E6" s="19"/>
    </row>
    <row r="7" spans="1:11" ht="71" customHeight="1" x14ac:dyDescent="0.2">
      <c r="A7" s="19"/>
      <c r="B7" s="19"/>
      <c r="C7" s="19"/>
      <c r="D7" s="19"/>
      <c r="E7" s="19"/>
    </row>
    <row r="8" spans="1:11" ht="16" x14ac:dyDescent="0.2">
      <c r="A8" s="4" t="s">
        <v>31</v>
      </c>
      <c r="B8" s="4"/>
      <c r="C8" s="4"/>
      <c r="D8" s="4"/>
    </row>
    <row r="9" spans="1:11" ht="16" x14ac:dyDescent="0.2">
      <c r="A9" s="5" t="s">
        <v>32</v>
      </c>
      <c r="B9" s="5" t="s">
        <v>33</v>
      </c>
      <c r="C9" s="5" t="s">
        <v>34</v>
      </c>
      <c r="D9" s="5" t="s">
        <v>35</v>
      </c>
      <c r="F9" s="5" t="s">
        <v>82</v>
      </c>
      <c r="G9" s="5">
        <v>0</v>
      </c>
      <c r="H9" s="5">
        <v>1</v>
      </c>
      <c r="I9" s="5">
        <v>2</v>
      </c>
      <c r="J9" s="5">
        <v>3</v>
      </c>
      <c r="K9" s="5">
        <v>4</v>
      </c>
    </row>
    <row r="10" spans="1:11" x14ac:dyDescent="0.2">
      <c r="A10" s="6" t="s">
        <v>69</v>
      </c>
      <c r="B10" s="6">
        <v>1000</v>
      </c>
      <c r="C10" s="6" t="s">
        <v>37</v>
      </c>
      <c r="D10" s="6" t="s">
        <v>102</v>
      </c>
      <c r="F10" s="8">
        <v>42</v>
      </c>
      <c r="G10" s="8">
        <v>0.39</v>
      </c>
      <c r="H10" s="8">
        <v>0.89</v>
      </c>
      <c r="I10" s="8">
        <v>1.34</v>
      </c>
      <c r="J10" s="8">
        <v>1.76</v>
      </c>
      <c r="K10" s="8">
        <v>2.15</v>
      </c>
    </row>
    <row r="11" spans="1:11" x14ac:dyDescent="0.2">
      <c r="A11" s="6" t="s">
        <v>85</v>
      </c>
      <c r="B11" s="6">
        <v>43</v>
      </c>
      <c r="C11" s="6" t="s">
        <v>40</v>
      </c>
      <c r="D11" s="6" t="s">
        <v>86</v>
      </c>
      <c r="F11" s="8">
        <v>43</v>
      </c>
      <c r="G11" s="8">
        <v>0.42</v>
      </c>
      <c r="H11" s="8">
        <v>0.92</v>
      </c>
      <c r="I11" s="8">
        <v>1.37</v>
      </c>
      <c r="J11" s="8">
        <v>1.78</v>
      </c>
      <c r="K11" s="8">
        <v>2.1800000000000002</v>
      </c>
    </row>
    <row r="12" spans="1:11" x14ac:dyDescent="0.2">
      <c r="A12" s="6" t="s">
        <v>115</v>
      </c>
      <c r="B12" s="6">
        <v>3</v>
      </c>
      <c r="C12" s="6" t="s">
        <v>88</v>
      </c>
      <c r="D12" s="6" t="s">
        <v>116</v>
      </c>
      <c r="F12" s="8">
        <v>44</v>
      </c>
      <c r="G12" s="8">
        <v>0.44</v>
      </c>
      <c r="H12" s="8">
        <v>0.95</v>
      </c>
      <c r="I12" s="8">
        <v>1.4</v>
      </c>
      <c r="J12" s="8">
        <v>1.82</v>
      </c>
      <c r="K12" s="8">
        <v>2.21</v>
      </c>
    </row>
    <row r="14" spans="1:11" ht="16" x14ac:dyDescent="0.2">
      <c r="A14" s="4" t="s">
        <v>43</v>
      </c>
      <c r="B14" s="4"/>
      <c r="C14" s="4"/>
      <c r="D14" s="4"/>
    </row>
    <row r="15" spans="1:11" ht="16" x14ac:dyDescent="0.2">
      <c r="A15" s="5" t="s">
        <v>44</v>
      </c>
      <c r="B15" s="5" t="s">
        <v>45</v>
      </c>
      <c r="C15" s="5" t="s">
        <v>46</v>
      </c>
      <c r="D15" s="5" t="s">
        <v>35</v>
      </c>
    </row>
    <row r="16" spans="1:11" ht="45" x14ac:dyDescent="0.2">
      <c r="A16" s="6" t="s">
        <v>117</v>
      </c>
      <c r="B16" s="11" t="s">
        <v>204</v>
      </c>
      <c r="C16" s="6">
        <f>INDEX($G$10:$K$12, MATCH(B11, $F$10:$F$12, 0), MATCH(B12, $G$9:$K$9, 0))</f>
        <v>1.78</v>
      </c>
      <c r="D16" s="6" t="s">
        <v>118</v>
      </c>
    </row>
    <row r="17" spans="1:4" x14ac:dyDescent="0.2">
      <c r="A17" s="6" t="s">
        <v>92</v>
      </c>
      <c r="B17" s="6" t="s">
        <v>93</v>
      </c>
      <c r="C17" s="6">
        <f>B10*C16</f>
        <v>1780</v>
      </c>
      <c r="D17" s="6" t="s">
        <v>119</v>
      </c>
    </row>
    <row r="19" spans="1:4" ht="16" x14ac:dyDescent="0.2">
      <c r="A19" s="4" t="s">
        <v>66</v>
      </c>
      <c r="B19" s="4"/>
      <c r="C19" s="4"/>
      <c r="D19" s="4"/>
    </row>
    <row r="20" spans="1:4" ht="16" x14ac:dyDescent="0.2">
      <c r="A20" s="5" t="s">
        <v>44</v>
      </c>
      <c r="B20" s="5" t="s">
        <v>57</v>
      </c>
      <c r="C20" s="5" t="s">
        <v>46</v>
      </c>
      <c r="D20" s="5" t="s">
        <v>35</v>
      </c>
    </row>
    <row r="21" spans="1:4" x14ac:dyDescent="0.2">
      <c r="A21" s="7" t="s">
        <v>117</v>
      </c>
      <c r="B21" s="7" t="s">
        <v>120</v>
      </c>
      <c r="C21" s="7">
        <v>1.78</v>
      </c>
      <c r="D21" s="7" t="s">
        <v>121</v>
      </c>
    </row>
    <row r="22" spans="1:4" x14ac:dyDescent="0.2">
      <c r="A22" s="7" t="s">
        <v>92</v>
      </c>
      <c r="B22" s="7" t="s">
        <v>122</v>
      </c>
      <c r="C22" s="7">
        <v>1780</v>
      </c>
      <c r="D22" s="7" t="s">
        <v>112</v>
      </c>
    </row>
  </sheetData>
  <mergeCells count="3">
    <mergeCell ref="A2:E2"/>
    <mergeCell ref="A1:E1"/>
    <mergeCell ref="A4:E7"/>
  </mergeCells>
  <pageMargins left="0.75" right="0.75" top="1" bottom="1" header="0.5" footer="0.5"/>
  <ignoredErrors>
    <ignoredError sqref="B21"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2"/>
  <sheetViews>
    <sheetView workbookViewId="0">
      <selection activeCell="A4" sqref="A4:E7"/>
    </sheetView>
  </sheetViews>
  <sheetFormatPr baseColWidth="10" defaultColWidth="8.83203125" defaultRowHeight="15" x14ac:dyDescent="0.2"/>
  <cols>
    <col min="1" max="1" width="30" customWidth="1"/>
    <col min="2" max="2" width="25" customWidth="1"/>
    <col min="3" max="3" width="15" customWidth="1"/>
    <col min="4" max="4" width="40" customWidth="1"/>
    <col min="5" max="5" width="30" customWidth="1"/>
    <col min="6" max="8" width="20" customWidth="1"/>
  </cols>
  <sheetData>
    <row r="1" spans="1:5" ht="19" x14ac:dyDescent="0.2">
      <c r="A1" s="18" t="s">
        <v>123</v>
      </c>
      <c r="B1" s="18"/>
      <c r="C1" s="18"/>
      <c r="D1" s="18"/>
      <c r="E1" s="18"/>
    </row>
    <row r="2" spans="1:5" ht="16" x14ac:dyDescent="0.2">
      <c r="A2" s="27" t="s">
        <v>124</v>
      </c>
      <c r="B2" s="27"/>
      <c r="C2" s="27"/>
      <c r="D2" s="27"/>
      <c r="E2" s="27"/>
    </row>
    <row r="4" spans="1:5" x14ac:dyDescent="0.2">
      <c r="A4" s="17" t="s">
        <v>210</v>
      </c>
      <c r="B4" s="17"/>
      <c r="C4" s="17"/>
      <c r="D4" s="17"/>
      <c r="E4" s="17"/>
    </row>
    <row r="5" spans="1:5" x14ac:dyDescent="0.2">
      <c r="A5" s="17"/>
      <c r="B5" s="17"/>
      <c r="C5" s="17"/>
      <c r="D5" s="17"/>
      <c r="E5" s="17"/>
    </row>
    <row r="6" spans="1:5" x14ac:dyDescent="0.2">
      <c r="A6" s="17"/>
      <c r="B6" s="17"/>
      <c r="C6" s="17"/>
      <c r="D6" s="17"/>
      <c r="E6" s="17"/>
    </row>
    <row r="7" spans="1:5" ht="90" customHeight="1" x14ac:dyDescent="0.2">
      <c r="A7" s="17"/>
      <c r="B7" s="17"/>
      <c r="C7" s="17"/>
      <c r="D7" s="17"/>
      <c r="E7" s="17"/>
    </row>
    <row r="8" spans="1:5" ht="16" x14ac:dyDescent="0.2">
      <c r="A8" s="4" t="s">
        <v>31</v>
      </c>
      <c r="B8" s="4"/>
      <c r="C8" s="4"/>
      <c r="D8" s="4"/>
    </row>
    <row r="9" spans="1:5" ht="16" x14ac:dyDescent="0.2">
      <c r="A9" s="5" t="s">
        <v>32</v>
      </c>
      <c r="B9" s="5" t="s">
        <v>33</v>
      </c>
      <c r="C9" s="5" t="s">
        <v>34</v>
      </c>
      <c r="D9" s="5" t="s">
        <v>35</v>
      </c>
    </row>
    <row r="10" spans="1:5" x14ac:dyDescent="0.2">
      <c r="A10" s="6" t="s">
        <v>125</v>
      </c>
      <c r="B10" s="6">
        <v>8.0000000000000002E-3</v>
      </c>
      <c r="C10" s="6" t="s">
        <v>126</v>
      </c>
      <c r="D10" s="6" t="s">
        <v>127</v>
      </c>
    </row>
    <row r="11" spans="1:5" x14ac:dyDescent="0.2">
      <c r="A11" s="6" t="s">
        <v>128</v>
      </c>
      <c r="B11" s="6">
        <v>30000</v>
      </c>
      <c r="C11" s="6" t="s">
        <v>37</v>
      </c>
      <c r="D11" s="6" t="s">
        <v>129</v>
      </c>
    </row>
    <row r="13" spans="1:5" ht="16" x14ac:dyDescent="0.2">
      <c r="A13" s="4" t="s">
        <v>43</v>
      </c>
      <c r="B13" s="4"/>
      <c r="C13" s="4"/>
      <c r="D13" s="4"/>
    </row>
    <row r="14" spans="1:5" ht="16" x14ac:dyDescent="0.2">
      <c r="A14" s="5" t="s">
        <v>44</v>
      </c>
      <c r="B14" s="5" t="s">
        <v>45</v>
      </c>
      <c r="C14" s="5" t="s">
        <v>46</v>
      </c>
      <c r="D14" s="5" t="s">
        <v>35</v>
      </c>
    </row>
    <row r="15" spans="1:5" x14ac:dyDescent="0.2">
      <c r="A15" s="6" t="s">
        <v>130</v>
      </c>
      <c r="B15" s="11" t="s">
        <v>211</v>
      </c>
      <c r="C15" s="6">
        <f>B10*B11</f>
        <v>240</v>
      </c>
      <c r="D15" s="6" t="s">
        <v>131</v>
      </c>
    </row>
    <row r="17" spans="1:4" ht="16" x14ac:dyDescent="0.2">
      <c r="A17" s="4" t="s">
        <v>55</v>
      </c>
      <c r="B17" s="4"/>
      <c r="C17" s="4"/>
      <c r="D17" s="4"/>
    </row>
    <row r="18" spans="1:4" ht="16" x14ac:dyDescent="0.2">
      <c r="A18" s="5" t="s">
        <v>56</v>
      </c>
      <c r="B18" s="5" t="s">
        <v>57</v>
      </c>
      <c r="C18" s="5" t="s">
        <v>33</v>
      </c>
      <c r="D18" s="5" t="s">
        <v>58</v>
      </c>
    </row>
    <row r="19" spans="1:4" x14ac:dyDescent="0.2">
      <c r="A19" s="6" t="s">
        <v>130</v>
      </c>
      <c r="B19" s="6">
        <f>C15</f>
        <v>240</v>
      </c>
      <c r="C19" s="6">
        <f>C15</f>
        <v>240</v>
      </c>
      <c r="D19" s="6" t="s">
        <v>132</v>
      </c>
    </row>
    <row r="20" spans="1:4" ht="16" x14ac:dyDescent="0.2">
      <c r="A20" s="4" t="s">
        <v>66</v>
      </c>
      <c r="B20" s="4"/>
      <c r="C20" s="4"/>
      <c r="D20" s="4"/>
    </row>
    <row r="21" spans="1:4" ht="16" x14ac:dyDescent="0.2">
      <c r="A21" s="5" t="s">
        <v>44</v>
      </c>
      <c r="B21" s="5" t="s">
        <v>57</v>
      </c>
      <c r="C21" s="5" t="s">
        <v>46</v>
      </c>
      <c r="D21" s="5" t="s">
        <v>35</v>
      </c>
    </row>
    <row r="22" spans="1:4" x14ac:dyDescent="0.2">
      <c r="A22" s="7" t="s">
        <v>130</v>
      </c>
      <c r="B22" s="7" t="s">
        <v>133</v>
      </c>
      <c r="C22" s="7">
        <v>240</v>
      </c>
      <c r="D22" s="7" t="s">
        <v>134</v>
      </c>
    </row>
  </sheetData>
  <mergeCells count="3">
    <mergeCell ref="A2:E2"/>
    <mergeCell ref="A1:E1"/>
    <mergeCell ref="A4:E7"/>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0"/>
  <sheetViews>
    <sheetView workbookViewId="0">
      <selection activeCell="A13" sqref="A13:G15"/>
    </sheetView>
  </sheetViews>
  <sheetFormatPr baseColWidth="10" defaultColWidth="8.83203125" defaultRowHeight="15" x14ac:dyDescent="0.2"/>
  <cols>
    <col min="1" max="1" width="30" customWidth="1"/>
    <col min="2" max="2" width="25" customWidth="1"/>
    <col min="3" max="3" width="15" customWidth="1"/>
    <col min="4" max="4" width="40" customWidth="1"/>
    <col min="5" max="5" width="30" customWidth="1"/>
    <col min="6" max="8" width="20" customWidth="1"/>
  </cols>
  <sheetData>
    <row r="1" spans="1:7" ht="19" x14ac:dyDescent="0.2">
      <c r="A1" s="18" t="s">
        <v>135</v>
      </c>
      <c r="B1" s="18"/>
      <c r="C1" s="18"/>
      <c r="D1" s="18"/>
      <c r="E1" s="18"/>
    </row>
    <row r="2" spans="1:7" ht="16" x14ac:dyDescent="0.2">
      <c r="A2" s="22" t="s">
        <v>136</v>
      </c>
      <c r="B2" s="22"/>
      <c r="C2" s="22"/>
      <c r="D2" s="22"/>
      <c r="E2" s="22"/>
    </row>
    <row r="3" spans="1:7" ht="16" x14ac:dyDescent="0.2">
      <c r="A3" s="20"/>
      <c r="B3" s="20"/>
      <c r="C3" s="20"/>
      <c r="D3" s="20"/>
      <c r="E3" s="20"/>
    </row>
    <row r="4" spans="1:7" x14ac:dyDescent="0.2">
      <c r="A4" s="19" t="s">
        <v>212</v>
      </c>
      <c r="B4" s="19"/>
      <c r="C4" s="19"/>
      <c r="D4" s="19"/>
      <c r="E4" s="19"/>
    </row>
    <row r="5" spans="1:7" x14ac:dyDescent="0.2">
      <c r="A5" s="19"/>
      <c r="B5" s="19"/>
      <c r="C5" s="19"/>
      <c r="D5" s="19"/>
      <c r="E5" s="19"/>
    </row>
    <row r="6" spans="1:7" x14ac:dyDescent="0.2">
      <c r="A6" s="19"/>
      <c r="B6" s="19"/>
      <c r="C6" s="19"/>
      <c r="D6" s="19"/>
      <c r="E6" s="19"/>
    </row>
    <row r="7" spans="1:7" ht="124" customHeight="1" x14ac:dyDescent="0.2">
      <c r="A7" s="19"/>
      <c r="B7" s="19"/>
      <c r="C7" s="19"/>
      <c r="D7" s="19"/>
      <c r="E7" s="19"/>
    </row>
    <row r="8" spans="1:7" ht="16" x14ac:dyDescent="0.2">
      <c r="A8" s="4" t="s">
        <v>31</v>
      </c>
      <c r="B8" s="4"/>
      <c r="C8" s="4"/>
      <c r="D8" s="4"/>
      <c r="E8" s="4"/>
      <c r="F8" s="4"/>
    </row>
    <row r="9" spans="1:7" ht="16" x14ac:dyDescent="0.2">
      <c r="A9" s="5" t="s">
        <v>137</v>
      </c>
      <c r="B9" s="5" t="s">
        <v>85</v>
      </c>
      <c r="C9" s="5" t="s">
        <v>138</v>
      </c>
      <c r="D9" s="5" t="s">
        <v>139</v>
      </c>
      <c r="E9" s="5" t="s">
        <v>140</v>
      </c>
      <c r="F9" s="5" t="s">
        <v>130</v>
      </c>
      <c r="G9" s="5" t="s">
        <v>141</v>
      </c>
    </row>
    <row r="10" spans="1:7" ht="30" x14ac:dyDescent="0.2">
      <c r="A10" s="6" t="s">
        <v>142</v>
      </c>
      <c r="B10" s="6">
        <v>38</v>
      </c>
      <c r="C10" s="6" t="s">
        <v>143</v>
      </c>
      <c r="D10" s="6">
        <v>5.5597000000000003</v>
      </c>
      <c r="E10" s="6">
        <v>4.1356999999999999</v>
      </c>
      <c r="F10" s="16">
        <f>0.008*30000</f>
        <v>240</v>
      </c>
      <c r="G10" s="16">
        <f>F10*D10*E10</f>
        <v>5518.3803096000001</v>
      </c>
    </row>
    <row r="11" spans="1:7" ht="30" x14ac:dyDescent="0.2">
      <c r="A11" s="6" t="s">
        <v>144</v>
      </c>
      <c r="B11" s="6">
        <v>47</v>
      </c>
      <c r="C11" s="6" t="s">
        <v>145</v>
      </c>
      <c r="D11" s="6">
        <v>9.4899000000000004</v>
      </c>
      <c r="E11" s="6">
        <v>5.0749000000000004</v>
      </c>
      <c r="F11" s="16">
        <f>0.008*30000</f>
        <v>240</v>
      </c>
      <c r="G11" s="16">
        <f>F11*D11*E11</f>
        <v>11558.470442400001</v>
      </c>
    </row>
    <row r="13" spans="1:7" x14ac:dyDescent="0.2">
      <c r="A13" s="21" t="s">
        <v>146</v>
      </c>
      <c r="B13" s="21"/>
      <c r="C13" s="21"/>
      <c r="D13" s="21"/>
      <c r="E13" s="21"/>
      <c r="F13" s="21"/>
      <c r="G13" s="21"/>
    </row>
    <row r="14" spans="1:7" x14ac:dyDescent="0.2">
      <c r="A14" s="21"/>
      <c r="B14" s="21"/>
      <c r="C14" s="21"/>
      <c r="D14" s="21"/>
      <c r="E14" s="21"/>
      <c r="F14" s="21"/>
      <c r="G14" s="21"/>
    </row>
    <row r="15" spans="1:7" ht="66" customHeight="1" x14ac:dyDescent="0.2">
      <c r="A15" s="21"/>
      <c r="B15" s="21"/>
      <c r="C15" s="21"/>
      <c r="D15" s="21"/>
      <c r="E15" s="21"/>
      <c r="F15" s="21"/>
      <c r="G15" s="21"/>
    </row>
    <row r="17" spans="1:7" ht="16" x14ac:dyDescent="0.2">
      <c r="A17" s="4" t="s">
        <v>66</v>
      </c>
      <c r="B17" s="4"/>
      <c r="C17" s="4"/>
      <c r="D17" s="4"/>
      <c r="E17" s="4"/>
      <c r="F17" s="4"/>
      <c r="G17" s="4"/>
    </row>
    <row r="18" spans="1:7" ht="16" x14ac:dyDescent="0.2">
      <c r="A18" s="5" t="s">
        <v>137</v>
      </c>
      <c r="B18" s="5" t="s">
        <v>57</v>
      </c>
      <c r="C18" s="5" t="s">
        <v>130</v>
      </c>
      <c r="D18" s="5" t="s">
        <v>141</v>
      </c>
      <c r="E18" s="5" t="s">
        <v>35</v>
      </c>
    </row>
    <row r="19" spans="1:7" x14ac:dyDescent="0.2">
      <c r="A19" s="7" t="s">
        <v>142</v>
      </c>
      <c r="B19" s="7" t="s">
        <v>147</v>
      </c>
      <c r="C19" s="7">
        <v>240</v>
      </c>
      <c r="D19" s="7">
        <v>5518</v>
      </c>
      <c r="E19" s="7" t="s">
        <v>148</v>
      </c>
    </row>
    <row r="20" spans="1:7" x14ac:dyDescent="0.2">
      <c r="A20" s="7" t="s">
        <v>144</v>
      </c>
      <c r="B20" s="7" t="s">
        <v>149</v>
      </c>
      <c r="C20" s="7">
        <v>240</v>
      </c>
      <c r="D20" s="7">
        <v>11558</v>
      </c>
      <c r="E20" s="7" t="s">
        <v>150</v>
      </c>
    </row>
  </sheetData>
  <mergeCells count="4">
    <mergeCell ref="A2:E2"/>
    <mergeCell ref="A1:E1"/>
    <mergeCell ref="A13:G15"/>
    <mergeCell ref="A4:E7"/>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0"/>
  <sheetViews>
    <sheetView workbookViewId="0">
      <selection activeCell="D30" sqref="D30"/>
    </sheetView>
  </sheetViews>
  <sheetFormatPr baseColWidth="10" defaultColWidth="8.83203125" defaultRowHeight="15" x14ac:dyDescent="0.2"/>
  <cols>
    <col min="1" max="1" width="30" customWidth="1"/>
    <col min="2" max="2" width="25" customWidth="1"/>
    <col min="3" max="3" width="15" customWidth="1"/>
    <col min="4" max="4" width="40" customWidth="1"/>
    <col min="5" max="5" width="30" customWidth="1"/>
    <col min="6" max="8" width="20" customWidth="1"/>
  </cols>
  <sheetData>
    <row r="1" spans="1:5" ht="19" x14ac:dyDescent="0.2">
      <c r="A1" s="18" t="s">
        <v>215</v>
      </c>
      <c r="B1" s="18"/>
      <c r="C1" s="18"/>
      <c r="D1" s="18"/>
      <c r="E1" s="18"/>
    </row>
    <row r="2" spans="1:5" s="28" customFormat="1" ht="16" x14ac:dyDescent="0.2">
      <c r="A2" s="27" t="s">
        <v>151</v>
      </c>
      <c r="B2" s="27"/>
      <c r="C2" s="27"/>
      <c r="D2" s="27"/>
      <c r="E2" s="27"/>
    </row>
    <row r="4" spans="1:5" x14ac:dyDescent="0.2">
      <c r="A4" s="17" t="s">
        <v>213</v>
      </c>
      <c r="B4" s="17"/>
      <c r="C4" s="17"/>
      <c r="D4" s="17"/>
      <c r="E4" s="17"/>
    </row>
    <row r="5" spans="1:5" x14ac:dyDescent="0.2">
      <c r="A5" s="17"/>
      <c r="B5" s="17"/>
      <c r="C5" s="17"/>
      <c r="D5" s="17"/>
      <c r="E5" s="17"/>
    </row>
    <row r="6" spans="1:5" x14ac:dyDescent="0.2">
      <c r="A6" s="17"/>
      <c r="B6" s="17"/>
      <c r="C6" s="17"/>
      <c r="D6" s="17"/>
      <c r="E6" s="17"/>
    </row>
    <row r="7" spans="1:5" ht="71" customHeight="1" x14ac:dyDescent="0.2">
      <c r="A7" s="17"/>
      <c r="B7" s="17"/>
      <c r="C7" s="17"/>
      <c r="D7" s="17"/>
      <c r="E7" s="17"/>
    </row>
    <row r="8" spans="1:5" ht="17" x14ac:dyDescent="0.2">
      <c r="A8" s="29" t="s">
        <v>31</v>
      </c>
      <c r="B8" s="29"/>
      <c r="C8" s="29"/>
      <c r="D8" s="29"/>
    </row>
    <row r="9" spans="1:5" ht="17" x14ac:dyDescent="0.2">
      <c r="A9" s="30" t="s">
        <v>1</v>
      </c>
      <c r="B9" s="30" t="s">
        <v>214</v>
      </c>
      <c r="C9" s="30" t="s">
        <v>152</v>
      </c>
      <c r="D9" s="30" t="s">
        <v>153</v>
      </c>
    </row>
    <row r="10" spans="1:5" ht="17" x14ac:dyDescent="0.2">
      <c r="A10" s="31" t="s">
        <v>154</v>
      </c>
      <c r="B10" s="32">
        <v>80000</v>
      </c>
      <c r="C10" s="32">
        <v>65000</v>
      </c>
      <c r="D10" s="32">
        <v>12000</v>
      </c>
    </row>
    <row r="11" spans="1:5" ht="17" x14ac:dyDescent="0.2">
      <c r="A11" s="31" t="s">
        <v>155</v>
      </c>
      <c r="B11" s="32">
        <v>85000</v>
      </c>
      <c r="C11" s="32"/>
      <c r="D11" s="32">
        <v>68000</v>
      </c>
    </row>
    <row r="12" spans="1:5" ht="17" x14ac:dyDescent="0.2">
      <c r="A12" s="29" t="s">
        <v>43</v>
      </c>
      <c r="B12" s="29"/>
      <c r="C12" s="29"/>
      <c r="D12" s="29"/>
    </row>
    <row r="13" spans="1:5" ht="17" x14ac:dyDescent="0.2">
      <c r="A13" s="30" t="s">
        <v>44</v>
      </c>
      <c r="B13" s="30" t="s">
        <v>45</v>
      </c>
      <c r="C13" s="30" t="s">
        <v>46</v>
      </c>
      <c r="D13" s="30" t="s">
        <v>35</v>
      </c>
    </row>
    <row r="14" spans="1:5" ht="17" x14ac:dyDescent="0.2">
      <c r="A14" s="31" t="s">
        <v>156</v>
      </c>
      <c r="B14" s="31" t="s">
        <v>157</v>
      </c>
      <c r="C14" s="33">
        <f>(C10+D10)/B10</f>
        <v>0.96250000000000002</v>
      </c>
      <c r="D14" s="31" t="s">
        <v>158</v>
      </c>
    </row>
    <row r="15" spans="1:5" ht="17" x14ac:dyDescent="0.2">
      <c r="A15" s="31" t="s">
        <v>159</v>
      </c>
      <c r="B15" s="31" t="s">
        <v>160</v>
      </c>
      <c r="C15" s="34">
        <f>(C10+D10)/B10*B11-D11</f>
        <v>13812.5</v>
      </c>
      <c r="D15" s="31" t="s">
        <v>161</v>
      </c>
    </row>
    <row r="16" spans="1:5" ht="16" x14ac:dyDescent="0.2">
      <c r="A16" s="20"/>
      <c r="B16" s="20"/>
      <c r="C16" s="20"/>
      <c r="D16" s="20"/>
    </row>
    <row r="17" spans="1:4" ht="17" x14ac:dyDescent="0.2">
      <c r="A17" s="29" t="s">
        <v>205</v>
      </c>
      <c r="B17" s="29"/>
      <c r="C17" s="29"/>
      <c r="D17" s="29"/>
    </row>
    <row r="18" spans="1:4" ht="17" x14ac:dyDescent="0.2">
      <c r="A18" s="30" t="s">
        <v>44</v>
      </c>
      <c r="B18" s="30" t="s">
        <v>57</v>
      </c>
      <c r="C18" s="30" t="s">
        <v>46</v>
      </c>
      <c r="D18" s="30" t="s">
        <v>35</v>
      </c>
    </row>
    <row r="19" spans="1:4" ht="17" x14ac:dyDescent="0.2">
      <c r="A19" s="35" t="s">
        <v>156</v>
      </c>
      <c r="B19" s="35" t="s">
        <v>162</v>
      </c>
      <c r="C19" s="35">
        <v>0.96250000000000002</v>
      </c>
      <c r="D19" s="35" t="s">
        <v>163</v>
      </c>
    </row>
    <row r="20" spans="1:4" ht="17" x14ac:dyDescent="0.2">
      <c r="A20" s="35" t="s">
        <v>159</v>
      </c>
      <c r="B20" s="35" t="s">
        <v>164</v>
      </c>
      <c r="C20" s="35">
        <v>13812.5</v>
      </c>
      <c r="D20" s="35" t="s">
        <v>165</v>
      </c>
    </row>
  </sheetData>
  <mergeCells count="3">
    <mergeCell ref="A2:E2"/>
    <mergeCell ref="A1:E1"/>
    <mergeCell ref="A4:E7"/>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8"/>
  <sheetViews>
    <sheetView workbookViewId="0">
      <selection activeCell="E10" sqref="E10"/>
    </sheetView>
  </sheetViews>
  <sheetFormatPr baseColWidth="10" defaultColWidth="8.83203125" defaultRowHeight="15" x14ac:dyDescent="0.2"/>
  <cols>
    <col min="1" max="1" width="30" customWidth="1"/>
    <col min="2" max="2" width="30.5" customWidth="1"/>
    <col min="3" max="3" width="21.83203125" customWidth="1"/>
    <col min="4" max="4" width="40" customWidth="1"/>
    <col min="5" max="5" width="30" customWidth="1"/>
    <col min="6" max="8" width="20" customWidth="1"/>
  </cols>
  <sheetData>
    <row r="1" spans="1:5" ht="19" x14ac:dyDescent="0.2">
      <c r="A1" s="18" t="s">
        <v>166</v>
      </c>
      <c r="B1" s="18"/>
      <c r="C1" s="18"/>
      <c r="D1" s="18"/>
      <c r="E1" s="18"/>
    </row>
    <row r="2" spans="1:5" ht="16" x14ac:dyDescent="0.2">
      <c r="A2" s="27" t="s">
        <v>167</v>
      </c>
      <c r="B2" s="27"/>
      <c r="C2" s="27"/>
      <c r="D2" s="27"/>
      <c r="E2" s="27"/>
    </row>
    <row r="4" spans="1:5" x14ac:dyDescent="0.2">
      <c r="A4" s="17" t="s">
        <v>216</v>
      </c>
      <c r="B4" s="17"/>
      <c r="C4" s="17"/>
      <c r="D4" s="17"/>
      <c r="E4" s="17"/>
    </row>
    <row r="5" spans="1:5" x14ac:dyDescent="0.2">
      <c r="A5" s="17"/>
      <c r="B5" s="17"/>
      <c r="C5" s="17"/>
      <c r="D5" s="17"/>
      <c r="E5" s="17"/>
    </row>
    <row r="6" spans="1:5" x14ac:dyDescent="0.2">
      <c r="A6" s="17"/>
      <c r="B6" s="17"/>
      <c r="C6" s="17"/>
      <c r="D6" s="17"/>
      <c r="E6" s="17"/>
    </row>
    <row r="7" spans="1:5" ht="110" customHeight="1" x14ac:dyDescent="0.2">
      <c r="A7" s="17"/>
      <c r="B7" s="17"/>
      <c r="C7" s="17"/>
      <c r="D7" s="17"/>
      <c r="E7" s="17"/>
    </row>
    <row r="8" spans="1:5" ht="16" x14ac:dyDescent="0.2">
      <c r="A8" s="4" t="s">
        <v>168</v>
      </c>
      <c r="B8" s="4"/>
      <c r="C8" s="4"/>
      <c r="D8" s="4"/>
      <c r="E8" s="4"/>
    </row>
    <row r="9" spans="1:5" ht="16" x14ac:dyDescent="0.2">
      <c r="A9" s="5"/>
      <c r="B9" s="5" t="s">
        <v>169</v>
      </c>
      <c r="C9" s="5" t="s">
        <v>170</v>
      </c>
      <c r="D9" s="5" t="s">
        <v>171</v>
      </c>
      <c r="E9" s="5" t="s">
        <v>172</v>
      </c>
    </row>
    <row r="10" spans="1:5" x14ac:dyDescent="0.2">
      <c r="A10" s="8" t="s">
        <v>173</v>
      </c>
      <c r="B10" s="8">
        <v>40</v>
      </c>
      <c r="C10" s="8">
        <v>60</v>
      </c>
      <c r="D10" s="8">
        <v>70</v>
      </c>
      <c r="E10" s="43">
        <f>D10</f>
        <v>70</v>
      </c>
    </row>
    <row r="11" spans="1:5" x14ac:dyDescent="0.2">
      <c r="A11" s="8" t="s">
        <v>174</v>
      </c>
      <c r="B11" s="8">
        <v>45</v>
      </c>
      <c r="C11" s="8">
        <v>70</v>
      </c>
      <c r="D11" s="36">
        <f>C11*117%</f>
        <v>81.899999999999991</v>
      </c>
      <c r="E11" s="36">
        <f t="shared" ref="E11:E12" si="0">D11</f>
        <v>81.899999999999991</v>
      </c>
    </row>
    <row r="12" spans="1:5" x14ac:dyDescent="0.2">
      <c r="A12" s="8" t="s">
        <v>175</v>
      </c>
      <c r="B12" s="8">
        <v>50</v>
      </c>
      <c r="C12" s="36">
        <f>B12*C14</f>
        <v>76.470588235294116</v>
      </c>
      <c r="D12" s="36">
        <f>C12*D14</f>
        <v>89.352941176470566</v>
      </c>
      <c r="E12" s="36">
        <f t="shared" si="0"/>
        <v>89.352941176470566</v>
      </c>
    </row>
    <row r="13" spans="1:5" x14ac:dyDescent="0.2">
      <c r="A13" s="38"/>
      <c r="B13" s="38"/>
      <c r="C13" s="37"/>
      <c r="D13" s="38"/>
      <c r="E13" s="38"/>
    </row>
    <row r="14" spans="1:5" s="40" customFormat="1" ht="16" x14ac:dyDescent="0.2">
      <c r="A14" s="39" t="s">
        <v>220</v>
      </c>
      <c r="B14" s="39"/>
      <c r="C14" s="41">
        <f>SUM(C10:C11)/SUM(B10:B11)</f>
        <v>1.5294117647058822</v>
      </c>
      <c r="D14" s="41">
        <f>SUM(D10:D11)/SUM(C10:C11)</f>
        <v>1.1684615384615382</v>
      </c>
      <c r="E14" s="42"/>
    </row>
    <row r="15" spans="1:5" x14ac:dyDescent="0.2">
      <c r="A15" s="38"/>
      <c r="B15" s="38"/>
      <c r="C15" s="37"/>
      <c r="D15" s="38"/>
      <c r="E15" s="38"/>
    </row>
    <row r="16" spans="1:5" ht="16" x14ac:dyDescent="0.2">
      <c r="A16" s="4" t="s">
        <v>43</v>
      </c>
      <c r="B16" s="4"/>
      <c r="C16" s="4"/>
      <c r="D16" s="4"/>
      <c r="E16" s="4"/>
    </row>
    <row r="17" spans="1:4" ht="16" x14ac:dyDescent="0.2">
      <c r="A17" s="5" t="s">
        <v>44</v>
      </c>
      <c r="B17" s="5" t="s">
        <v>45</v>
      </c>
      <c r="C17" s="5" t="s">
        <v>46</v>
      </c>
      <c r="D17" s="5" t="s">
        <v>35</v>
      </c>
    </row>
    <row r="18" spans="1:4" x14ac:dyDescent="0.2">
      <c r="A18" s="6" t="s">
        <v>176</v>
      </c>
      <c r="B18" s="11" t="s">
        <v>217</v>
      </c>
      <c r="C18" s="13">
        <f>SUM(C10:C11)/SUM(B10:B11)</f>
        <v>1.5294117647058822</v>
      </c>
      <c r="D18" s="6" t="s">
        <v>177</v>
      </c>
    </row>
    <row r="19" spans="1:4" x14ac:dyDescent="0.2">
      <c r="A19" s="6" t="s">
        <v>178</v>
      </c>
      <c r="B19" s="11" t="s">
        <v>218</v>
      </c>
      <c r="C19" s="13">
        <f>SUM(D10:D11)/SUM(C10:C11)</f>
        <v>1.1684615384615382</v>
      </c>
      <c r="D19" s="6" t="s">
        <v>179</v>
      </c>
    </row>
    <row r="20" spans="1:4" ht="30" x14ac:dyDescent="0.2">
      <c r="A20" s="6" t="s">
        <v>180</v>
      </c>
      <c r="B20" s="11" t="s">
        <v>219</v>
      </c>
      <c r="C20" s="15">
        <f>C12*(SUM(D10:D11)/SUM(C10:C11))</f>
        <v>89.352941176470566</v>
      </c>
      <c r="D20" s="6" t="s">
        <v>181</v>
      </c>
    </row>
    <row r="21" spans="1:4" ht="30" x14ac:dyDescent="0.2">
      <c r="A21" s="6" t="s">
        <v>182</v>
      </c>
      <c r="B21" s="11" t="s">
        <v>221</v>
      </c>
      <c r="C21" s="6">
        <f>SUM(C11:D11,D12)-SUM(D10,C11,B12)</f>
        <v>51.252941176470529</v>
      </c>
      <c r="D21" s="6" t="s">
        <v>183</v>
      </c>
    </row>
    <row r="23" spans="1:4" ht="16" x14ac:dyDescent="0.2">
      <c r="A23" s="4" t="s">
        <v>66</v>
      </c>
      <c r="B23" s="4"/>
      <c r="C23" s="4"/>
      <c r="D23" s="4"/>
    </row>
    <row r="24" spans="1:4" ht="16" x14ac:dyDescent="0.2">
      <c r="A24" s="5" t="s">
        <v>44</v>
      </c>
      <c r="B24" s="5" t="s">
        <v>57</v>
      </c>
      <c r="C24" s="5" t="s">
        <v>46</v>
      </c>
      <c r="D24" s="5" t="s">
        <v>35</v>
      </c>
    </row>
    <row r="25" spans="1:4" x14ac:dyDescent="0.2">
      <c r="A25" s="7" t="s">
        <v>184</v>
      </c>
      <c r="B25" s="7" t="s">
        <v>185</v>
      </c>
      <c r="C25" s="7">
        <v>1.5238</v>
      </c>
      <c r="D25" s="7" t="s">
        <v>186</v>
      </c>
    </row>
    <row r="26" spans="1:4" x14ac:dyDescent="0.2">
      <c r="A26" s="7" t="s">
        <v>187</v>
      </c>
      <c r="B26" s="7" t="s">
        <v>188</v>
      </c>
      <c r="C26" s="7">
        <v>1.1692</v>
      </c>
      <c r="D26" s="7" t="s">
        <v>189</v>
      </c>
    </row>
    <row r="27" spans="1:4" x14ac:dyDescent="0.2">
      <c r="A27" s="7" t="s">
        <v>190</v>
      </c>
      <c r="B27" s="7" t="s">
        <v>191</v>
      </c>
      <c r="C27" s="7">
        <v>88.86</v>
      </c>
      <c r="D27" s="7" t="s">
        <v>192</v>
      </c>
    </row>
    <row r="28" spans="1:4" x14ac:dyDescent="0.2">
      <c r="A28" s="7" t="s">
        <v>193</v>
      </c>
      <c r="B28" s="7" t="s">
        <v>194</v>
      </c>
      <c r="C28" s="7">
        <v>51</v>
      </c>
      <c r="D28" s="7" t="s">
        <v>183</v>
      </c>
    </row>
  </sheetData>
  <mergeCells count="3">
    <mergeCell ref="A2:E2"/>
    <mergeCell ref="A1:E1"/>
    <mergeCell ref="A4:E7"/>
  </mergeCells>
  <pageMargins left="0.75" right="0.75" top="1" bottom="1" header="0.5" footer="0.5"/>
  <ignoredErrors>
    <ignoredError sqref="C18:C21" formulaRange="1"/>
    <ignoredError sqref="B9:D10 B14 B13:D13 B12 B11:C11" numberStoredAsText="1"/>
    <ignoredError sqref="C14:D14" numberStoredAsText="1" formulaRange="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10</vt:i4>
      </vt:variant>
    </vt:vector>
  </HeadingPairs>
  <TitlesOfParts>
    <vt:vector size="10" baseType="lpstr">
      <vt:lpstr>Index</vt:lpstr>
      <vt:lpstr>Ex1_RenteConjoint</vt:lpstr>
      <vt:lpstr>Ex2_RenteEducation</vt:lpstr>
      <vt:lpstr>Ex4_IncapaciteTravail</vt:lpstr>
      <vt:lpstr>Ex5_InvaliditeCours</vt:lpstr>
      <vt:lpstr>Ex6_InvaliditeAttente</vt:lpstr>
      <vt:lpstr>Ex7_PrimesLissees</vt:lpstr>
      <vt:lpstr>Ex8_MaintienDeces</vt:lpstr>
      <vt:lpstr>Ex9_DerniereAnnee</vt:lpstr>
      <vt:lpstr>Ex10_ChainLadder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paul dakpogan</cp:lastModifiedBy>
  <dcterms:created xsi:type="dcterms:W3CDTF">2025-11-11T01:25:49Z</dcterms:created>
  <dcterms:modified xsi:type="dcterms:W3CDTF">2025-11-11T17:35:56Z</dcterms:modified>
</cp:coreProperties>
</file>