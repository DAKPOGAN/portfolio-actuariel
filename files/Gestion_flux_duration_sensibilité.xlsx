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15ABD490-E035-5F47-9DBC-931D5C592AC7}" xr6:coauthVersionLast="47" xr6:coauthVersionMax="47" xr10:uidLastSave="{00000000-0000-0000-0000-000000000000}"/>
  <bookViews>
    <workbookView xWindow="860" yWindow="500" windowWidth="33600" windowHeight="19460" xr2:uid="{00000000-000D-0000-FFFF-FFFF00000000}"/>
  </bookViews>
  <sheets>
    <sheet name="Partie 1" sheetId="1" r:id="rId1"/>
    <sheet name="Partie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2" l="1"/>
  <c r="K15" i="2"/>
  <c r="J15" i="2"/>
  <c r="I15" i="2"/>
  <c r="H15" i="2"/>
  <c r="G15" i="2"/>
  <c r="F15" i="2"/>
  <c r="E15" i="2"/>
  <c r="D15" i="2"/>
  <c r="C15" i="2"/>
  <c r="B15" i="2"/>
  <c r="K14" i="2"/>
  <c r="J14" i="2"/>
  <c r="I14" i="2"/>
  <c r="H14" i="2"/>
  <c r="G14" i="2"/>
  <c r="F14" i="2"/>
  <c r="E14" i="2"/>
  <c r="D14" i="2"/>
  <c r="C14" i="2"/>
  <c r="B14" i="2"/>
  <c r="B16" i="2" s="1"/>
  <c r="B20" i="2" s="1"/>
  <c r="K8" i="2"/>
  <c r="J8" i="2"/>
  <c r="I8" i="2"/>
  <c r="H8" i="2"/>
  <c r="G8" i="2"/>
  <c r="F8" i="2"/>
  <c r="E8" i="2"/>
  <c r="D8" i="2"/>
  <c r="C8" i="2"/>
  <c r="B8" i="2"/>
  <c r="K7" i="2"/>
  <c r="J7" i="2"/>
  <c r="I7" i="2"/>
  <c r="H7" i="2"/>
  <c r="G7" i="2"/>
  <c r="F7" i="2"/>
  <c r="E7" i="2"/>
  <c r="D7" i="2"/>
  <c r="C7" i="2"/>
  <c r="B7" i="2"/>
  <c r="B9" i="2" s="1"/>
  <c r="B19" i="2" s="1"/>
  <c r="K32" i="1"/>
  <c r="K33" i="1" s="1"/>
  <c r="J32" i="1"/>
  <c r="J33" i="1" s="1"/>
  <c r="I32" i="1"/>
  <c r="I33" i="1" s="1"/>
  <c r="H32" i="1"/>
  <c r="H33" i="1" s="1"/>
  <c r="G32" i="1"/>
  <c r="G33" i="1" s="1"/>
  <c r="F32" i="1"/>
  <c r="F33" i="1" s="1"/>
  <c r="E32" i="1"/>
  <c r="E33" i="1" s="1"/>
  <c r="D32" i="1"/>
  <c r="D33" i="1" s="1"/>
  <c r="C32" i="1"/>
  <c r="C33" i="1" s="1"/>
  <c r="B32" i="1"/>
  <c r="B33" i="1" s="1"/>
  <c r="B34" i="1" s="1"/>
  <c r="K31" i="1"/>
  <c r="J31" i="1"/>
  <c r="I31" i="1"/>
  <c r="H31" i="1"/>
  <c r="G31" i="1"/>
  <c r="F31" i="1"/>
  <c r="E31" i="1"/>
  <c r="D31" i="1"/>
  <c r="C31" i="1"/>
  <c r="B31" i="1"/>
  <c r="C34" i="1" l="1"/>
  <c r="D34" i="1" s="1"/>
  <c r="E34" i="1" s="1"/>
  <c r="F34" i="1" s="1"/>
  <c r="G34" i="1" s="1"/>
  <c r="H34" i="1" s="1"/>
  <c r="I34" i="1" s="1"/>
  <c r="J34" i="1" s="1"/>
  <c r="K34" i="1" s="1"/>
</calcChain>
</file>

<file path=xl/sharedStrings.xml><?xml version="1.0" encoding="utf-8"?>
<sst xmlns="http://schemas.openxmlformats.org/spreadsheetml/2006/main" count="75" uniqueCount="69">
  <si>
    <t>Monsieur Sacquet travaille dans une compagnie d’assurance vie qui gère des contrats d’épargne et de retraite. En tant qu’assureur, il est possible d’observer différents flux chaque année, que ce soit à l’actif ou au passif.</t>
  </si>
  <si>
    <t>Question 1 : Rappelez les différents supports que vous pouvez être amenés à utiliser.</t>
  </si>
  <si>
    <t>Il existe les monosupports où le support correspond au fonds euro et garantit un capital.
Il existe également les multisupports qui combinent à la fois du fonds euro et des Unités de Compte (UC). L’unité de compte est le nom donné aux différents supports d’investissement utilisés dans un contrat d’assurance-vie 'multi support'.
Contrairement au fonds en euros qui en constitue l’autre volet, le capital n’est pas libellé en euros mais en parts dont la valeur fluctue en fonction des marchés boursiers (l’assuré peut donc perdre la prime investie).</t>
  </si>
  <si>
    <t>Question 2 : Rappelez les 5 principales classes d’actifs qu’un assureur possède dans son portefeuille et donnez une définition rapide de chacune d’entre elles.</t>
  </si>
  <si>
    <t>Les 5 principales classes d’actifs sont :
 - Les obligations : titres de dette utilisés par les entreprises ou les États pour emprunter de l’argent sur les marchés financiers.
 - L’immobilier : peut être détenu en direct ou via des fonds immobiliers (pierre-papier).
 - Les actions : représentent une fraction du capital d’une entreprise.
 - Les organismes de placement collectif (OPCVM) : fonds diversifiés investissant dans plusieurs classes d’actifs.
 - Le monétaire : instruments de court terme (billets de trésorerie, certificats de dépôt) offrant une liquidité élevée.</t>
  </si>
  <si>
    <t>Question 3 : En tant qu’assureur vous souhaitez obtenir plus de rendement. Pour quelle stratégie opteriez-vous ? Quel est le risque sous-jacent ?</t>
  </si>
  <si>
    <t>Pour obtenir plus de rendement, l’assureur peut se tourner vers des classes d’actifs plus risquées comme les actions non cotées (Private Equity).
Le risque sous-jacent principal est le risque de liquidité, car ces fonds sont structurés avec une faible liquidité. Il existe un marché secondaire mais il implique une décote significative (en moyenne 20 %).</t>
  </si>
  <si>
    <t>Question 4 : Rappelez les risques financiers auxquels un assureur doit faire face.</t>
  </si>
  <si>
    <t>Les risques financiers sont les suivants :
 - Risque de marché : fluctuation des prix des titres et des taux.
 - Risque de défaut : incapacité de l’émetteur à rembourser sa dette.
 - Risque de change : variation des taux de change pour les actifs libellés dans une autre devise.
 - Risque de taux : variation des taux d’intérêt influençant la valeur des obligations.
 - Risque de liquidité : difficulté à acheter ou vendre un actif rapidement sans en impacter le prix.
 - Risque d’inflation : érosion du pouvoir d’achat des flux futurs.</t>
  </si>
  <si>
    <t>Question 5 : À l’aide du tableau suivant, tracez un graphique représentant les gaps de trésorerie. Quel est le risque l’année 3 et quel est celui de l’année 4 ?</t>
  </si>
  <si>
    <t>Année</t>
  </si>
  <si>
    <t>Remboursements obligatoires</t>
  </si>
  <si>
    <t>Coupons</t>
  </si>
  <si>
    <t>Loyers</t>
  </si>
  <si>
    <t>Frais</t>
  </si>
  <si>
    <t>Rachats</t>
  </si>
  <si>
    <t>Décès</t>
  </si>
  <si>
    <t>Rentes</t>
  </si>
  <si>
    <t>Primes</t>
  </si>
  <si>
    <t>Flux de passifs (en millions)</t>
  </si>
  <si>
    <t>Flux d’actifs (en millions)</t>
  </si>
  <si>
    <t>Solde annuel</t>
  </si>
  <si>
    <t>Cumulé</t>
  </si>
  <si>
    <t>Risque année 3 : le solde est positif ; il y a un risque de réinvestissement car il faut placer l’excédent de trésorerie dans un contexte où les taux d’intérêt sont bas.
Risque année 4 : le solde est négatif ; il y a un risque de réalisation de moins-values si l’on doit vendre des actifs pour couvrir le déficit de trésorerie.</t>
  </si>
  <si>
    <t>Question 6 : Calculez la duration puis la sensibilité de votre actif et de votre passif en utilisant les données du tableau précédent et le tableau avec le taux sans risque.</t>
  </si>
  <si>
    <t>Actif</t>
  </si>
  <si>
    <t>Taux sans risque</t>
  </si>
  <si>
    <t>Numérateur</t>
  </si>
  <si>
    <t>Dénominateur</t>
  </si>
  <si>
    <t>Duration Actif</t>
  </si>
  <si>
    <t>Passif</t>
  </si>
  <si>
    <t>Duration Passif</t>
  </si>
  <si>
    <t>Calcul de la Sensibilité : S = -1/(1+r) × Duration (r=1%)</t>
  </si>
  <si>
    <t>Sensibilité Actif</t>
  </si>
  <si>
    <t>Sensibilité Passif</t>
  </si>
  <si>
    <t>Question 7 : Commentez cet écart de duration entre votre actif et votre passif. Quel est le risque d’un tel écart ?</t>
  </si>
  <si>
    <t>Comme nous l’avons constaté, il y a un léger écart de duration entre l’actif et le passif. Le passif a une duration plus élevée que l’actif. Cela entraîne, comme nous l’avons vu avec le calcul de sensibilité, une plus forte variation de la valeur du passif par rapport à l’actif en cas de variation des taux. Par ailleurs, le risque d’une duration plus faible à l’actif est le risque de réinvestissement, notamment dans un contexte de taux bas.</t>
  </si>
  <si>
    <t>Question 8 : Marchés des obligations – Comment s’échangent-elles et quels sont les acteurs ?</t>
  </si>
  <si>
    <t>Il existe le marché primaire (produits neufs) et le marché secondaire (produits d’occasion). Les échanges peuvent se faire de gré à gré ou sur un marché organisé :
 – Dans un marché de gré à gré, les intermédiaires financiers négocient directement les termes de la transaction et la clearing house n’intervient pas.
 – Un marché organisé est un lieu de négociation où le processus de formation des prix et la confrontation des ordres obéissent à des règles approuvées par le régulateur. En France, les marchés organisés sont surveillés par l’AMF, avec Euronext Paris comme bourse de référence.
L’Autorité des marchés financiers (AMF) veille à la bonne information des investisseurs et fait évoluer la réglementation au niveau européen et international.</t>
  </si>
  <si>
    <t>Question 9 : Les différents risques obligataires</t>
  </si>
  <si>
    <t>Les principaux risques d’une obligation sont :
 – Risque de défaut : risque que l’émetteur ne rembourse pas. Plus la note de crédit est basse, plus ce risque est élevé.
 – Risque de liquidité : risque de difficulté à vendre l’obligation si le volume de transactions est faible.
 – Risque de taux : la valeur de l’obligation varie avec les taux d’intérêt. Une hausse des taux fait baisser la valeur de l’obligation, et inversement.
 – Risque de change : pour les obligations libellées dans une devise différente de celle de l’investisseur, le taux de change peut avoir un impact positif ou négatif.
 – Risque d’inflation : l’inflation érode la valeur des paiements futurs d’une obligation.</t>
  </si>
  <si>
    <t>Question 10 : Ratings High Yield et risques associés</t>
  </si>
  <si>
    <t>Les obligations ‘High Yield’ correspondent aux notations inférieures à BB+ (inclus). Elles sont considérées comme plus risquées car le risque de défaut est élevé.
Ces obligations offrent néanmoins un rendement plus attractif (spread élevé) pour compenser ce risque accru.</t>
  </si>
  <si>
    <t>Question 11 : Notion de décote et schéma des flux d’une obligation Lindt</t>
  </si>
  <si>
    <t>Une décote correspond à la différence entre le nominal et le prix d’achat de l’obligation. Ici, l’obligation a un nominal de 1 000 € et une décote de 200 €, donc le prix d’achat est de 800 €. La décote est amortie sur la durée via un amortissement constant de 40 € par an.</t>
  </si>
  <si>
    <t>Amortissement</t>
  </si>
  <si>
    <t>Coupon</t>
  </si>
  <si>
    <t>Produit financier</t>
  </si>
  <si>
    <t>T=1</t>
  </si>
  <si>
    <t>T=2</t>
  </si>
  <si>
    <t>T=3</t>
  </si>
  <si>
    <t>T=4</t>
  </si>
  <si>
    <t>T=5</t>
  </si>
  <si>
    <t>Question 12 : Produits financiers réalisés chaque année</t>
  </si>
  <si>
    <t>Les produits financiers d’une obligation sont la somme du coupon, de la variation du coupon couru et de la variation de surcote/décote. Pour l’obligation Lindt, le coupon est de 5 € et l’amortissement de la décote est de 40 €, soit un total de 45 € chaque année.</t>
  </si>
  <si>
    <t>Question 13 : Calcul du coupon couru (2 ans et demi)</t>
  </si>
  <si>
    <t>Le coupon couru se calcule comme suit : Coupon couru = taux de coupon × (nombre de jours écoulés/360) × nominal.</t>
  </si>
  <si>
    <t>Application numérique</t>
  </si>
  <si>
    <t>Question 14 : TRA – Méthode exacte et méthode d’approximation</t>
  </si>
  <si>
    <t>Formule exacte : Prix = ∑_{i=1}^{n} Coupon/(1+TRA)^i + Nominal/(1+TRA)^n.</t>
  </si>
  <si>
    <t xml:space="preserve">Méthode d’approximation : TRA ≈ (Coupon/‘cours’) + (différence de cours / (‘cours’ × échéance résiduelle)). Pour l’obligation Ferrero Rocher, le TRA est d’environ 4,66 %. </t>
  </si>
  <si>
    <t>Question 15 : VM d’une obligation Lego (note AA)</t>
  </si>
  <si>
    <t>Les taux sans risque par maturité et le spread de 0,6 % pour la note AA sont utilisés pour actualiser les flux. La valeur actuelle des coupons (4 €) et du nominal est calculée selon : VM = ∑_{t=1}^{8} 100×4\%/(1+r_t+spread)^t + 100/(1+r_8+spread)^8.</t>
  </si>
  <si>
    <t>Résultat (VM AA)</t>
  </si>
  <si>
    <t>Question 16 : VM de l’obligation après 3 ans (note A)</t>
  </si>
  <si>
    <t>Trois ans plus tard, l’obligation est notée A et la courbe des taux a augmenté. La nouvelle VM est calculée avec les nouveaux taux sans risque et un spread de 1,2 % : VM = ∑_{t=1}^{8} 100×4\%/(1+r_t+1,2\%)^t + 100/(1+r_8+1,2\%)^8.</t>
  </si>
  <si>
    <t>Résultat (VM A)</t>
  </si>
  <si>
    <t xml:space="preserve"> Durations, Sensibilités et Obligations</t>
  </si>
  <si>
    <t xml:space="preserve"> Gestion des flux d'une compagnie d’assurance 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</si>
</sst>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
  </numFmts>
  <fonts count="7" x14ac:knownFonts="1">
    <font>
      <sz val="11"/>
      <color theme="1"/>
      <name val="Calibri"/>
      <family val="2"/>
      <scheme val="minor"/>
    </font>
    <font>
      <b/>
      <sz val="14"/>
      <color rgb="FFFFFFFF"/>
      <name val="Calibri"/>
      <family val="2"/>
    </font>
    <font>
      <sz val="11"/>
      <name val="Calibri"/>
      <family val="2"/>
    </font>
    <font>
      <b/>
      <sz val="12"/>
      <color rgb="FF4B0082"/>
      <name val="Calibri"/>
      <family val="2"/>
    </font>
    <font>
      <b/>
      <sz val="11"/>
      <name val="Calibri"/>
      <family val="2"/>
    </font>
    <font>
      <b/>
      <sz val="11"/>
      <color rgb="FF4B0082"/>
      <name val="Calibri"/>
      <family val="2"/>
    </font>
    <font>
      <b/>
      <sz val="12"/>
      <name val="Calibri"/>
      <family val="2"/>
    </font>
  </fonts>
  <fills count="10">
    <fill>
      <patternFill patternType="none"/>
    </fill>
    <fill>
      <patternFill patternType="gray125"/>
    </fill>
    <fill>
      <patternFill patternType="solid">
        <fgColor rgb="FF2E75B6"/>
      </patternFill>
    </fill>
    <fill>
      <patternFill patternType="solid">
        <fgColor rgb="FFDDEBF7"/>
      </patternFill>
    </fill>
    <fill>
      <patternFill patternType="solid">
        <fgColor rgb="FFA6C8E0"/>
      </patternFill>
    </fill>
    <fill>
      <patternFill patternType="solid">
        <fgColor rgb="FFFFFFFF"/>
      </patternFill>
    </fill>
    <fill>
      <patternFill patternType="solid">
        <fgColor rgb="FFF5FAFD"/>
      </patternFill>
    </fill>
    <fill>
      <patternFill patternType="solid">
        <fgColor rgb="FF0F5FA7"/>
      </patternFill>
    </fill>
    <fill>
      <patternFill patternType="solid">
        <fgColor rgb="FFA7C7E7"/>
      </patternFill>
    </fill>
    <fill>
      <patternFill patternType="solid">
        <fgColor rgb="FFD0EEF5"/>
      </patternFill>
    </fill>
  </fills>
  <borders count="1">
    <border>
      <left/>
      <right/>
      <top/>
      <bottom/>
      <diagonal/>
    </border>
  </borders>
  <cellStyleXfs count="1">
    <xf numFmtId="0" fontId="0" fillId="0" borderId="0"/>
  </cellStyleXfs>
  <cellXfs count="27">
    <xf numFmtId="0" fontId="0" fillId="0" borderId="0" xfId="0"/>
    <xf numFmtId="0" fontId="4" fillId="4" borderId="0" xfId="0" applyFont="1" applyFill="1"/>
    <xf numFmtId="0" fontId="4" fillId="4" borderId="0" xfId="0" applyFont="1" applyFill="1" applyAlignment="1">
      <alignment horizontal="center"/>
    </xf>
    <xf numFmtId="0" fontId="2" fillId="5" borderId="0" xfId="0" applyFont="1" applyFill="1"/>
    <xf numFmtId="2" fontId="0" fillId="5" borderId="0" xfId="0" applyNumberFormat="1" applyFill="1"/>
    <xf numFmtId="0" fontId="2" fillId="6" borderId="0" xfId="0" applyFont="1" applyFill="1"/>
    <xf numFmtId="2" fontId="0" fillId="6" borderId="0" xfId="0" applyNumberFormat="1" applyFill="1"/>
    <xf numFmtId="0" fontId="0" fillId="5" borderId="0" xfId="0" applyFill="1"/>
    <xf numFmtId="0" fontId="0" fillId="6" borderId="0" xfId="0" applyFill="1"/>
    <xf numFmtId="0" fontId="3" fillId="0" borderId="0" xfId="0" applyFont="1"/>
    <xf numFmtId="0" fontId="0" fillId="0" borderId="0" xfId="0"/>
    <xf numFmtId="0" fontId="2" fillId="3" borderId="0" xfId="0" applyFont="1" applyFill="1" applyAlignment="1">
      <alignment wrapText="1"/>
    </xf>
    <xf numFmtId="0" fontId="1" fillId="2" borderId="0" xfId="0" applyFont="1" applyFill="1" applyAlignment="1">
      <alignment horizontal="center"/>
    </xf>
    <xf numFmtId="0" fontId="1" fillId="7" borderId="0" xfId="0" applyFont="1" applyFill="1" applyAlignment="1">
      <alignment horizontal="center"/>
    </xf>
    <xf numFmtId="0" fontId="5" fillId="0" borderId="0" xfId="0" applyFont="1"/>
    <xf numFmtId="0" fontId="6" fillId="8" borderId="0" xfId="0" applyFont="1" applyFill="1" applyAlignment="1">
      <alignment horizontal="left"/>
    </xf>
    <xf numFmtId="0" fontId="6" fillId="8" borderId="0" xfId="0" applyFont="1" applyFill="1" applyAlignment="1">
      <alignment horizontal="center"/>
    </xf>
    <xf numFmtId="0" fontId="2" fillId="9" borderId="0" xfId="0" applyFont="1" applyFill="1"/>
    <xf numFmtId="164" fontId="0" fillId="9" borderId="0" xfId="0" applyNumberFormat="1" applyFill="1"/>
    <xf numFmtId="0" fontId="2" fillId="0" borderId="0" xfId="0" applyFont="1"/>
    <xf numFmtId="2" fontId="0" fillId="0" borderId="0" xfId="0" applyNumberFormat="1"/>
    <xf numFmtId="0" fontId="6" fillId="8" borderId="0" xfId="0" applyFont="1" applyFill="1"/>
    <xf numFmtId="0" fontId="6" fillId="0" borderId="0" xfId="0" applyFont="1"/>
    <xf numFmtId="0" fontId="2" fillId="0" borderId="0" xfId="0" applyFont="1" applyAlignment="1">
      <alignment wrapText="1"/>
    </xf>
    <xf numFmtId="0" fontId="6" fillId="0" borderId="0" xfId="0" applyFont="1"/>
    <xf numFmtId="165" fontId="2" fillId="0" borderId="0" xfId="0" applyNumberFormat="1" applyFont="1"/>
    <xf numFmtId="2"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12"/>
  <c:chart>
    <c:title>
      <c:tx>
        <c:rich>
          <a:bodyPr/>
          <a:lstStyle/>
          <a:p>
            <a:pPr>
              <a:defRPr/>
            </a:pPr>
            <a:r>
              <a:rPr lang="fr-FR"/>
              <a:t>Gaps de trésorerie</a:t>
            </a:r>
          </a:p>
        </c:rich>
      </c:tx>
      <c:overlay val="1"/>
    </c:title>
    <c:autoTitleDeleted val="0"/>
    <c:plotArea>
      <c:layout>
        <c:manualLayout>
          <c:layoutTarget val="inner"/>
          <c:xMode val="edge"/>
          <c:yMode val="edge"/>
          <c:x val="0"/>
          <c:y val="9.7013888888888886E-2"/>
          <c:w val="0.94825925925925925"/>
          <c:h val="0.90298611111111116"/>
        </c:manualLayout>
      </c:layout>
      <c:lineChart>
        <c:grouping val="standard"/>
        <c:varyColors val="1"/>
        <c:ser>
          <c:idx val="0"/>
          <c:order val="0"/>
          <c:tx>
            <c:strRef>
              <c:f>'Partie 1'!$A$31</c:f>
              <c:strCache>
                <c:ptCount val="1"/>
                <c:pt idx="0">
                  <c:v>Flux de passifs (en millions)</c:v>
                </c:pt>
              </c:strCache>
            </c:strRef>
          </c:tx>
          <c:spPr>
            <a:ln>
              <a:prstDash val="solid"/>
            </a:ln>
          </c:spPr>
          <c:marker>
            <c:symbol val="none"/>
          </c:marker>
          <c:cat>
            <c:numRef>
              <c:f>'Partie 1'!$B$22:$K$22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'Partie 1'!$B$31:$K$31</c:f>
              <c:numCache>
                <c:formatCode>General</c:formatCode>
                <c:ptCount val="10"/>
                <c:pt idx="0">
                  <c:v>-596.99999999999989</c:v>
                </c:pt>
                <c:pt idx="1">
                  <c:v>-565</c:v>
                </c:pt>
                <c:pt idx="2">
                  <c:v>-488</c:v>
                </c:pt>
                <c:pt idx="3">
                  <c:v>-472</c:v>
                </c:pt>
                <c:pt idx="4">
                  <c:v>-414.00000000000006</c:v>
                </c:pt>
                <c:pt idx="5">
                  <c:v>-380</c:v>
                </c:pt>
                <c:pt idx="6">
                  <c:v>-360.99999999999994</c:v>
                </c:pt>
                <c:pt idx="7">
                  <c:v>-322</c:v>
                </c:pt>
                <c:pt idx="8">
                  <c:v>-297</c:v>
                </c:pt>
                <c:pt idx="9">
                  <c:v>-288</c:v>
                </c:pt>
              </c:numCache>
            </c:numRef>
          </c:val>
          <c:smooth val="1"/>
          <c:extLst>
            <c:ext xmlns:c16="http://schemas.microsoft.com/office/drawing/2014/chart" uri="{C3380CC4-5D6E-409C-BE32-E72D297353CC}">
              <c16:uniqueId val="{00000000-139C-E648-970F-22160F022AED}"/>
            </c:ext>
          </c:extLst>
        </c:ser>
        <c:ser>
          <c:idx val="1"/>
          <c:order val="1"/>
          <c:tx>
            <c:strRef>
              <c:f>'Partie 1'!$A$32</c:f>
              <c:strCache>
                <c:ptCount val="1"/>
                <c:pt idx="0">
                  <c:v>Flux d’actifs (en millions)</c:v>
                </c:pt>
              </c:strCache>
            </c:strRef>
          </c:tx>
          <c:spPr>
            <a:ln>
              <a:prstDash val="solid"/>
            </a:ln>
          </c:spPr>
          <c:marker>
            <c:symbol val="none"/>
          </c:marker>
          <c:cat>
            <c:numRef>
              <c:f>'Partie 1'!$B$22:$K$22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'Partie 1'!$B$32:$K$32</c:f>
              <c:numCache>
                <c:formatCode>General</c:formatCode>
                <c:ptCount val="10"/>
                <c:pt idx="0">
                  <c:v>622</c:v>
                </c:pt>
                <c:pt idx="1">
                  <c:v>550</c:v>
                </c:pt>
                <c:pt idx="2">
                  <c:v>573</c:v>
                </c:pt>
                <c:pt idx="3">
                  <c:v>312</c:v>
                </c:pt>
                <c:pt idx="4">
                  <c:v>431</c:v>
                </c:pt>
                <c:pt idx="5">
                  <c:v>402</c:v>
                </c:pt>
                <c:pt idx="6">
                  <c:v>356</c:v>
                </c:pt>
                <c:pt idx="7">
                  <c:v>299</c:v>
                </c:pt>
                <c:pt idx="8">
                  <c:v>206</c:v>
                </c:pt>
                <c:pt idx="9">
                  <c:v>93</c:v>
                </c:pt>
              </c:numCache>
            </c:numRef>
          </c:val>
          <c:smooth val="1"/>
          <c:extLst>
            <c:ext xmlns:c16="http://schemas.microsoft.com/office/drawing/2014/chart" uri="{C3380CC4-5D6E-409C-BE32-E72D297353CC}">
              <c16:uniqueId val="{00000001-139C-E648-970F-22160F022AED}"/>
            </c:ext>
          </c:extLst>
        </c:ser>
        <c:ser>
          <c:idx val="2"/>
          <c:order val="2"/>
          <c:tx>
            <c:strRef>
              <c:f>'Partie 1'!$A$33</c:f>
              <c:strCache>
                <c:ptCount val="1"/>
                <c:pt idx="0">
                  <c:v>Solde annuel</c:v>
                </c:pt>
              </c:strCache>
            </c:strRef>
          </c:tx>
          <c:spPr>
            <a:ln>
              <a:prstDash val="solid"/>
            </a:ln>
          </c:spPr>
          <c:marker>
            <c:symbol val="none"/>
          </c:marker>
          <c:cat>
            <c:numRef>
              <c:f>'Partie 1'!$B$22:$K$22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'Partie 1'!$B$33:$K$33</c:f>
              <c:numCache>
                <c:formatCode>General</c:formatCode>
                <c:ptCount val="10"/>
                <c:pt idx="0">
                  <c:v>25.000000000000114</c:v>
                </c:pt>
                <c:pt idx="1">
                  <c:v>-15</c:v>
                </c:pt>
                <c:pt idx="2">
                  <c:v>85</c:v>
                </c:pt>
                <c:pt idx="3">
                  <c:v>-160</c:v>
                </c:pt>
                <c:pt idx="4">
                  <c:v>16.999999999999943</c:v>
                </c:pt>
                <c:pt idx="5">
                  <c:v>22</c:v>
                </c:pt>
                <c:pt idx="6">
                  <c:v>-4.9999999999999432</c:v>
                </c:pt>
                <c:pt idx="7">
                  <c:v>-23</c:v>
                </c:pt>
                <c:pt idx="8">
                  <c:v>-91</c:v>
                </c:pt>
                <c:pt idx="9">
                  <c:v>-195</c:v>
                </c:pt>
              </c:numCache>
            </c:numRef>
          </c:val>
          <c:smooth val="1"/>
          <c:extLst>
            <c:ext xmlns:c16="http://schemas.microsoft.com/office/drawing/2014/chart" uri="{C3380CC4-5D6E-409C-BE32-E72D297353CC}">
              <c16:uniqueId val="{00000002-139C-E648-970F-22160F022AED}"/>
            </c:ext>
          </c:extLst>
        </c:ser>
        <c:ser>
          <c:idx val="3"/>
          <c:order val="3"/>
          <c:tx>
            <c:strRef>
              <c:f>'Partie 1'!$A$34</c:f>
              <c:strCache>
                <c:ptCount val="1"/>
                <c:pt idx="0">
                  <c:v>Cumulé</c:v>
                </c:pt>
              </c:strCache>
            </c:strRef>
          </c:tx>
          <c:spPr>
            <a:ln>
              <a:prstDash val="solid"/>
            </a:ln>
          </c:spPr>
          <c:marker>
            <c:symbol val="none"/>
          </c:marker>
          <c:cat>
            <c:numRef>
              <c:f>'Partie 1'!$B$22:$K$22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'Partie 1'!$B$34:$K$34</c:f>
              <c:numCache>
                <c:formatCode>General</c:formatCode>
                <c:ptCount val="10"/>
                <c:pt idx="0">
                  <c:v>25.000000000000114</c:v>
                </c:pt>
                <c:pt idx="1">
                  <c:v>10.000000000000114</c:v>
                </c:pt>
                <c:pt idx="2">
                  <c:v>95.000000000000114</c:v>
                </c:pt>
                <c:pt idx="3">
                  <c:v>-64.999999999999886</c:v>
                </c:pt>
                <c:pt idx="4">
                  <c:v>-47.999999999999943</c:v>
                </c:pt>
                <c:pt idx="5">
                  <c:v>-25.999999999999943</c:v>
                </c:pt>
                <c:pt idx="6">
                  <c:v>-30.999999999999886</c:v>
                </c:pt>
                <c:pt idx="7">
                  <c:v>-53.999999999999886</c:v>
                </c:pt>
                <c:pt idx="8">
                  <c:v>-144.99999999999989</c:v>
                </c:pt>
                <c:pt idx="9">
                  <c:v>-339.99999999999989</c:v>
                </c:pt>
              </c:numCache>
            </c:numRef>
          </c:val>
          <c:smooth val="1"/>
          <c:extLst>
            <c:ext xmlns:c16="http://schemas.microsoft.com/office/drawing/2014/chart" uri="{C3380CC4-5D6E-409C-BE32-E72D297353CC}">
              <c16:uniqueId val="{00000003-139C-E648-970F-22160F022AED}"/>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fr-FR"/>
                  <a:t>Année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r-FR"/>
                  <a:t>Montants (millions)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1638300</xdr:colOff>
      <xdr:row>48</xdr:row>
      <xdr:rowOff>25400</xdr:rowOff>
    </xdr:from>
    <xdr:ext cx="540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tabSelected="1" workbookViewId="0">
      <pane xSplit="1" ySplit="22" topLeftCell="B23" activePane="bottomRight" state="frozen"/>
      <selection pane="topRight"/>
      <selection pane="bottomLeft"/>
      <selection pane="bottomRight" activeCell="P10" sqref="P10"/>
    </sheetView>
  </sheetViews>
  <sheetFormatPr baseColWidth="10" defaultColWidth="8.83203125" defaultRowHeight="15" x14ac:dyDescent="0.2"/>
  <cols>
    <col min="1" max="1" width="30" customWidth="1"/>
    <col min="2" max="12" width="12" customWidth="1"/>
  </cols>
  <sheetData>
    <row r="1" spans="1:12" ht="19" x14ac:dyDescent="0.25">
      <c r="A1" s="12" t="s">
        <v>68</v>
      </c>
      <c r="B1" s="10"/>
      <c r="C1" s="10"/>
      <c r="D1" s="10"/>
      <c r="E1" s="10"/>
      <c r="F1" s="10"/>
      <c r="G1" s="10"/>
      <c r="H1" s="10"/>
      <c r="I1" s="10"/>
      <c r="J1" s="10"/>
      <c r="K1" s="10"/>
      <c r="L1" s="10"/>
    </row>
    <row r="2" spans="1:12" x14ac:dyDescent="0.2">
      <c r="A2" s="11" t="s">
        <v>0</v>
      </c>
      <c r="B2" s="10"/>
      <c r="C2" s="10"/>
      <c r="D2" s="10"/>
      <c r="E2" s="10"/>
      <c r="F2" s="10"/>
      <c r="G2" s="10"/>
      <c r="H2" s="10"/>
      <c r="I2" s="10"/>
      <c r="J2" s="10"/>
      <c r="K2" s="10"/>
      <c r="L2" s="10"/>
    </row>
    <row r="4" spans="1:12" ht="16" x14ac:dyDescent="0.2">
      <c r="A4" s="9" t="s">
        <v>1</v>
      </c>
      <c r="B4" s="10"/>
      <c r="C4" s="10"/>
      <c r="D4" s="10"/>
      <c r="E4" s="10"/>
      <c r="F4" s="10"/>
      <c r="G4" s="10"/>
      <c r="H4" s="10"/>
      <c r="I4" s="10"/>
      <c r="J4" s="10"/>
      <c r="K4" s="10"/>
      <c r="L4" s="10"/>
    </row>
    <row r="5" spans="1:12" x14ac:dyDescent="0.2">
      <c r="A5" s="11" t="s">
        <v>2</v>
      </c>
      <c r="B5" s="10"/>
      <c r="C5" s="10"/>
      <c r="D5" s="10"/>
      <c r="E5" s="10"/>
      <c r="F5" s="10"/>
      <c r="G5" s="10"/>
      <c r="H5" s="10"/>
      <c r="I5" s="10"/>
      <c r="J5" s="10"/>
      <c r="K5" s="10"/>
      <c r="L5" s="10"/>
    </row>
    <row r="6" spans="1:12" ht="61" customHeight="1" x14ac:dyDescent="0.2">
      <c r="A6" s="10"/>
      <c r="B6" s="10"/>
      <c r="C6" s="10"/>
      <c r="D6" s="10"/>
      <c r="E6" s="10"/>
      <c r="F6" s="10"/>
      <c r="G6" s="10"/>
      <c r="H6" s="10"/>
      <c r="I6" s="10"/>
      <c r="J6" s="10"/>
      <c r="K6" s="10"/>
      <c r="L6" s="10"/>
    </row>
    <row r="8" spans="1:12" ht="16" x14ac:dyDescent="0.2">
      <c r="A8" s="9" t="s">
        <v>3</v>
      </c>
      <c r="B8" s="10"/>
      <c r="C8" s="10"/>
      <c r="D8" s="10"/>
      <c r="E8" s="10"/>
      <c r="F8" s="10"/>
      <c r="G8" s="10"/>
      <c r="H8" s="10"/>
      <c r="I8" s="10"/>
      <c r="J8" s="10"/>
      <c r="K8" s="10"/>
      <c r="L8" s="10"/>
    </row>
    <row r="9" spans="1:12" x14ac:dyDescent="0.2">
      <c r="A9" s="11" t="s">
        <v>4</v>
      </c>
      <c r="B9" s="10"/>
      <c r="C9" s="10"/>
      <c r="D9" s="10"/>
      <c r="E9" s="10"/>
      <c r="F9" s="10"/>
      <c r="G9" s="10"/>
      <c r="H9" s="10"/>
      <c r="I9" s="10"/>
      <c r="J9" s="10"/>
      <c r="K9" s="10"/>
      <c r="L9" s="10"/>
    </row>
    <row r="10" spans="1:12" ht="85" customHeight="1" x14ac:dyDescent="0.2">
      <c r="A10" s="10"/>
      <c r="B10" s="10"/>
      <c r="C10" s="10"/>
      <c r="D10" s="10"/>
      <c r="E10" s="10"/>
      <c r="F10" s="10"/>
      <c r="G10" s="10"/>
      <c r="H10" s="10"/>
      <c r="I10" s="10"/>
      <c r="J10" s="10"/>
      <c r="K10" s="10"/>
      <c r="L10" s="10"/>
    </row>
    <row r="12" spans="1:12" ht="16" x14ac:dyDescent="0.2">
      <c r="A12" s="9" t="s">
        <v>5</v>
      </c>
      <c r="B12" s="10"/>
      <c r="C12" s="10"/>
      <c r="D12" s="10"/>
      <c r="E12" s="10"/>
      <c r="F12" s="10"/>
      <c r="G12" s="10"/>
      <c r="H12" s="10"/>
      <c r="I12" s="10"/>
      <c r="J12" s="10"/>
      <c r="K12" s="10"/>
      <c r="L12" s="10"/>
    </row>
    <row r="13" spans="1:12" x14ac:dyDescent="0.2">
      <c r="A13" s="11" t="s">
        <v>6</v>
      </c>
      <c r="B13" s="10"/>
      <c r="C13" s="10"/>
      <c r="D13" s="10"/>
      <c r="E13" s="10"/>
      <c r="F13" s="10"/>
      <c r="G13" s="10"/>
      <c r="H13" s="10"/>
      <c r="I13" s="10"/>
      <c r="J13" s="10"/>
      <c r="K13" s="10"/>
      <c r="L13" s="10"/>
    </row>
    <row r="14" spans="1:12" ht="38" customHeight="1" x14ac:dyDescent="0.2">
      <c r="A14" s="10"/>
      <c r="B14" s="10"/>
      <c r="C14" s="10"/>
      <c r="D14" s="10"/>
      <c r="E14" s="10"/>
      <c r="F14" s="10"/>
      <c r="G14" s="10"/>
      <c r="H14" s="10"/>
      <c r="I14" s="10"/>
      <c r="J14" s="10"/>
      <c r="K14" s="10"/>
      <c r="L14" s="10"/>
    </row>
    <row r="16" spans="1:12" ht="16" x14ac:dyDescent="0.2">
      <c r="A16" s="9" t="s">
        <v>7</v>
      </c>
      <c r="B16" s="10"/>
      <c r="C16" s="10"/>
      <c r="D16" s="10"/>
      <c r="E16" s="10"/>
      <c r="F16" s="10"/>
      <c r="G16" s="10"/>
      <c r="H16" s="10"/>
      <c r="I16" s="10"/>
      <c r="J16" s="10"/>
      <c r="K16" s="10"/>
      <c r="L16" s="10"/>
    </row>
    <row r="17" spans="1:12" x14ac:dyDescent="0.2">
      <c r="A17" s="11" t="s">
        <v>8</v>
      </c>
      <c r="B17" s="10"/>
      <c r="C17" s="10"/>
      <c r="D17" s="10"/>
      <c r="E17" s="10"/>
      <c r="F17" s="10"/>
      <c r="G17" s="10"/>
      <c r="H17" s="10"/>
      <c r="I17" s="10"/>
      <c r="J17" s="10"/>
      <c r="K17" s="10"/>
      <c r="L17" s="10"/>
    </row>
    <row r="18" spans="1:12" ht="112" customHeight="1" x14ac:dyDescent="0.2">
      <c r="A18" s="10"/>
      <c r="B18" s="10"/>
      <c r="C18" s="10"/>
      <c r="D18" s="10"/>
      <c r="E18" s="10"/>
      <c r="F18" s="10"/>
      <c r="G18" s="10"/>
      <c r="H18" s="10"/>
      <c r="I18" s="10"/>
      <c r="J18" s="10"/>
      <c r="K18" s="10"/>
      <c r="L18" s="10"/>
    </row>
    <row r="20" spans="1:12" ht="16" x14ac:dyDescent="0.2">
      <c r="A20" s="9" t="s">
        <v>9</v>
      </c>
      <c r="B20" s="10"/>
      <c r="C20" s="10"/>
      <c r="D20" s="10"/>
      <c r="E20" s="10"/>
      <c r="F20" s="10"/>
      <c r="G20" s="10"/>
      <c r="H20" s="10"/>
      <c r="I20" s="10"/>
      <c r="J20" s="10"/>
      <c r="K20" s="10"/>
      <c r="L20" s="10"/>
    </row>
    <row r="22" spans="1:12" x14ac:dyDescent="0.2">
      <c r="A22" s="1" t="s">
        <v>10</v>
      </c>
      <c r="B22" s="2">
        <v>1</v>
      </c>
      <c r="C22" s="2">
        <v>2</v>
      </c>
      <c r="D22" s="2">
        <v>3</v>
      </c>
      <c r="E22" s="2">
        <v>4</v>
      </c>
      <c r="F22" s="2">
        <v>5</v>
      </c>
      <c r="G22" s="2">
        <v>6</v>
      </c>
      <c r="H22" s="2">
        <v>7</v>
      </c>
      <c r="I22" s="2">
        <v>8</v>
      </c>
      <c r="J22" s="2">
        <v>9</v>
      </c>
      <c r="K22" s="2">
        <v>10</v>
      </c>
    </row>
    <row r="23" spans="1:12" x14ac:dyDescent="0.2">
      <c r="A23" s="3" t="s">
        <v>11</v>
      </c>
      <c r="B23" s="4">
        <v>435.4</v>
      </c>
      <c r="C23" s="4">
        <v>385</v>
      </c>
      <c r="D23" s="4">
        <v>401.1</v>
      </c>
      <c r="E23" s="4">
        <v>218.4</v>
      </c>
      <c r="F23" s="4">
        <v>301.7</v>
      </c>
      <c r="G23" s="4">
        <v>281.39999999999998</v>
      </c>
      <c r="H23" s="4">
        <v>249.2</v>
      </c>
      <c r="I23" s="4">
        <v>209.3</v>
      </c>
      <c r="J23" s="4">
        <v>144.19999999999999</v>
      </c>
      <c r="K23" s="4">
        <v>65.099999999999994</v>
      </c>
    </row>
    <row r="24" spans="1:12" x14ac:dyDescent="0.2">
      <c r="A24" s="5" t="s">
        <v>12</v>
      </c>
      <c r="B24" s="6">
        <v>155.5</v>
      </c>
      <c r="C24" s="6">
        <v>137.5</v>
      </c>
      <c r="D24" s="6">
        <v>143.25</v>
      </c>
      <c r="E24" s="6">
        <v>78</v>
      </c>
      <c r="F24" s="6">
        <v>107.75</v>
      </c>
      <c r="G24" s="6">
        <v>100.5</v>
      </c>
      <c r="H24" s="6">
        <v>89</v>
      </c>
      <c r="I24" s="6">
        <v>74.75</v>
      </c>
      <c r="J24" s="6">
        <v>51.5</v>
      </c>
      <c r="K24" s="6">
        <v>23.25</v>
      </c>
    </row>
    <row r="25" spans="1:12" x14ac:dyDescent="0.2">
      <c r="A25" s="3" t="s">
        <v>13</v>
      </c>
      <c r="B25" s="4">
        <v>31.1</v>
      </c>
      <c r="C25" s="4">
        <v>27.5</v>
      </c>
      <c r="D25" s="4">
        <v>28.65</v>
      </c>
      <c r="E25" s="4">
        <v>15.6</v>
      </c>
      <c r="F25" s="4">
        <v>21.55</v>
      </c>
      <c r="G25" s="4">
        <v>20.100000000000001</v>
      </c>
      <c r="H25" s="4">
        <v>17.8</v>
      </c>
      <c r="I25" s="4">
        <v>14.95</v>
      </c>
      <c r="J25" s="4">
        <v>10.3</v>
      </c>
      <c r="K25" s="4">
        <v>4.6500000000000004</v>
      </c>
    </row>
    <row r="26" spans="1:12" x14ac:dyDescent="0.2">
      <c r="A26" s="5" t="s">
        <v>14</v>
      </c>
      <c r="B26" s="6">
        <v>29.85</v>
      </c>
      <c r="C26" s="6">
        <v>28.25</v>
      </c>
      <c r="D26" s="6">
        <v>24.4</v>
      </c>
      <c r="E26" s="6">
        <v>23.6</v>
      </c>
      <c r="F26" s="6">
        <v>20.7</v>
      </c>
      <c r="G26" s="6">
        <v>19</v>
      </c>
      <c r="H26" s="6">
        <v>18.05</v>
      </c>
      <c r="I26" s="6">
        <v>16.100000000000001</v>
      </c>
      <c r="J26" s="6">
        <v>14.85</v>
      </c>
      <c r="K26" s="6">
        <v>14.4</v>
      </c>
    </row>
    <row r="27" spans="1:12" x14ac:dyDescent="0.2">
      <c r="A27" s="3" t="s">
        <v>15</v>
      </c>
      <c r="B27" s="4">
        <v>119.4</v>
      </c>
      <c r="C27" s="4">
        <v>113</v>
      </c>
      <c r="D27" s="4">
        <v>97.6</v>
      </c>
      <c r="E27" s="4">
        <v>94.4</v>
      </c>
      <c r="F27" s="4">
        <v>82.8</v>
      </c>
      <c r="G27" s="4">
        <v>76</v>
      </c>
      <c r="H27" s="4">
        <v>72.2</v>
      </c>
      <c r="I27" s="4">
        <v>64.400000000000006</v>
      </c>
      <c r="J27" s="4">
        <v>59.4</v>
      </c>
      <c r="K27" s="4">
        <v>57.6</v>
      </c>
    </row>
    <row r="28" spans="1:12" x14ac:dyDescent="0.2">
      <c r="A28" s="5" t="s">
        <v>16</v>
      </c>
      <c r="B28" s="6">
        <v>370.14</v>
      </c>
      <c r="C28" s="6">
        <v>350.3</v>
      </c>
      <c r="D28" s="6">
        <v>302.56</v>
      </c>
      <c r="E28" s="6">
        <v>292.64</v>
      </c>
      <c r="F28" s="6">
        <v>256.68</v>
      </c>
      <c r="G28" s="6">
        <v>235.6</v>
      </c>
      <c r="H28" s="6">
        <v>223.82</v>
      </c>
      <c r="I28" s="6">
        <v>199.64</v>
      </c>
      <c r="J28" s="6">
        <v>184.14</v>
      </c>
      <c r="K28" s="6">
        <v>178.56</v>
      </c>
    </row>
    <row r="29" spans="1:12" x14ac:dyDescent="0.2">
      <c r="A29" s="3" t="s">
        <v>17</v>
      </c>
      <c r="B29" s="4">
        <v>89.55</v>
      </c>
      <c r="C29" s="4">
        <v>84.75</v>
      </c>
      <c r="D29" s="4">
        <v>73.2</v>
      </c>
      <c r="E29" s="4">
        <v>70.8</v>
      </c>
      <c r="F29" s="4">
        <v>62.1</v>
      </c>
      <c r="G29" s="4">
        <v>57</v>
      </c>
      <c r="H29" s="4">
        <v>54.15</v>
      </c>
      <c r="I29" s="4">
        <v>48.3</v>
      </c>
      <c r="J29" s="4">
        <v>44.55</v>
      </c>
      <c r="K29" s="4">
        <v>43.2</v>
      </c>
    </row>
    <row r="30" spans="1:12" x14ac:dyDescent="0.2">
      <c r="A30" s="5" t="s">
        <v>18</v>
      </c>
      <c r="B30" s="6">
        <v>11.94</v>
      </c>
      <c r="C30" s="6">
        <v>11.3</v>
      </c>
      <c r="D30" s="6">
        <v>9.76</v>
      </c>
      <c r="E30" s="6">
        <v>9.44</v>
      </c>
      <c r="F30" s="6">
        <v>8.2799999999999994</v>
      </c>
      <c r="G30" s="6">
        <v>7.6</v>
      </c>
      <c r="H30" s="6">
        <v>7.22</v>
      </c>
      <c r="I30" s="6">
        <v>6.44</v>
      </c>
      <c r="J30" s="6">
        <v>5.94</v>
      </c>
      <c r="K30" s="6">
        <v>5.76</v>
      </c>
    </row>
    <row r="31" spans="1:12" x14ac:dyDescent="0.2">
      <c r="A31" s="3" t="s">
        <v>19</v>
      </c>
      <c r="B31" s="7">
        <f t="shared" ref="B31:K31" si="0">-(B26+B27+B28+B29)+B30</f>
        <v>-596.99999999999989</v>
      </c>
      <c r="C31" s="7">
        <f t="shared" si="0"/>
        <v>-565</v>
      </c>
      <c r="D31" s="7">
        <f t="shared" si="0"/>
        <v>-488</v>
      </c>
      <c r="E31" s="7">
        <f t="shared" si="0"/>
        <v>-472</v>
      </c>
      <c r="F31" s="7">
        <f t="shared" si="0"/>
        <v>-414.00000000000006</v>
      </c>
      <c r="G31" s="7">
        <f t="shared" si="0"/>
        <v>-380</v>
      </c>
      <c r="H31" s="7">
        <f t="shared" si="0"/>
        <v>-360.99999999999994</v>
      </c>
      <c r="I31" s="7">
        <f t="shared" si="0"/>
        <v>-322</v>
      </c>
      <c r="J31" s="7">
        <f t="shared" si="0"/>
        <v>-297</v>
      </c>
      <c r="K31" s="7">
        <f t="shared" si="0"/>
        <v>-288</v>
      </c>
    </row>
    <row r="32" spans="1:12" x14ac:dyDescent="0.2">
      <c r="A32" s="5" t="s">
        <v>20</v>
      </c>
      <c r="B32" s="8">
        <f t="shared" ref="B32:K32" si="1">B23+B24+B25</f>
        <v>622</v>
      </c>
      <c r="C32" s="8">
        <f t="shared" si="1"/>
        <v>550</v>
      </c>
      <c r="D32" s="8">
        <f t="shared" si="1"/>
        <v>573</v>
      </c>
      <c r="E32" s="8">
        <f t="shared" si="1"/>
        <v>312</v>
      </c>
      <c r="F32" s="8">
        <f t="shared" si="1"/>
        <v>431</v>
      </c>
      <c r="G32" s="8">
        <f t="shared" si="1"/>
        <v>402</v>
      </c>
      <c r="H32" s="8">
        <f t="shared" si="1"/>
        <v>356</v>
      </c>
      <c r="I32" s="8">
        <f t="shared" si="1"/>
        <v>299</v>
      </c>
      <c r="J32" s="8">
        <f t="shared" si="1"/>
        <v>206</v>
      </c>
      <c r="K32" s="8">
        <f t="shared" si="1"/>
        <v>93</v>
      </c>
    </row>
    <row r="33" spans="1:12" x14ac:dyDescent="0.2">
      <c r="A33" s="3" t="s">
        <v>21</v>
      </c>
      <c r="B33" s="7">
        <f t="shared" ref="B33:K33" si="2">B32+B31</f>
        <v>25.000000000000114</v>
      </c>
      <c r="C33" s="7">
        <f t="shared" si="2"/>
        <v>-15</v>
      </c>
      <c r="D33" s="7">
        <f t="shared" si="2"/>
        <v>85</v>
      </c>
      <c r="E33" s="7">
        <f t="shared" si="2"/>
        <v>-160</v>
      </c>
      <c r="F33" s="7">
        <f t="shared" si="2"/>
        <v>16.999999999999943</v>
      </c>
      <c r="G33" s="7">
        <f t="shared" si="2"/>
        <v>22</v>
      </c>
      <c r="H33" s="7">
        <f t="shared" si="2"/>
        <v>-4.9999999999999432</v>
      </c>
      <c r="I33" s="7">
        <f t="shared" si="2"/>
        <v>-23</v>
      </c>
      <c r="J33" s="7">
        <f t="shared" si="2"/>
        <v>-91</v>
      </c>
      <c r="K33" s="7">
        <f t="shared" si="2"/>
        <v>-195</v>
      </c>
    </row>
    <row r="34" spans="1:12" x14ac:dyDescent="0.2">
      <c r="A34" s="5" t="s">
        <v>22</v>
      </c>
      <c r="B34" s="8">
        <f>B33</f>
        <v>25.000000000000114</v>
      </c>
      <c r="C34" s="8">
        <f t="shared" ref="C34:K34" si="3">C33+B34</f>
        <v>10.000000000000114</v>
      </c>
      <c r="D34" s="8">
        <f t="shared" si="3"/>
        <v>95.000000000000114</v>
      </c>
      <c r="E34" s="8">
        <f t="shared" si="3"/>
        <v>-64.999999999999886</v>
      </c>
      <c r="F34" s="8">
        <f t="shared" si="3"/>
        <v>-47.999999999999943</v>
      </c>
      <c r="G34" s="8">
        <f t="shared" si="3"/>
        <v>-25.999999999999943</v>
      </c>
      <c r="H34" s="8">
        <f t="shared" si="3"/>
        <v>-30.999999999999886</v>
      </c>
      <c r="I34" s="8">
        <f t="shared" si="3"/>
        <v>-53.999999999999886</v>
      </c>
      <c r="J34" s="8">
        <f t="shared" si="3"/>
        <v>-144.99999999999989</v>
      </c>
      <c r="K34" s="8">
        <f t="shared" si="3"/>
        <v>-339.99999999999989</v>
      </c>
    </row>
    <row r="45" spans="1:12" x14ac:dyDescent="0.2">
      <c r="A45" s="11" t="s">
        <v>23</v>
      </c>
      <c r="B45" s="10"/>
      <c r="C45" s="10"/>
      <c r="D45" s="10"/>
      <c r="E45" s="10"/>
      <c r="F45" s="10"/>
      <c r="G45" s="10"/>
      <c r="H45" s="10"/>
      <c r="I45" s="10"/>
      <c r="J45" s="10"/>
      <c r="K45" s="10"/>
      <c r="L45" s="10"/>
    </row>
  </sheetData>
  <mergeCells count="12">
    <mergeCell ref="A20:L20"/>
    <mergeCell ref="A2:L2"/>
    <mergeCell ref="A16:L16"/>
    <mergeCell ref="A1:L1"/>
    <mergeCell ref="A45:L45"/>
    <mergeCell ref="A5:L6"/>
    <mergeCell ref="A8:L8"/>
    <mergeCell ref="A17:L18"/>
    <mergeCell ref="A9:L10"/>
    <mergeCell ref="A13:L14"/>
    <mergeCell ref="A12:L12"/>
    <mergeCell ref="A4:L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1A50-8321-D046-B371-2819C55A88F8}">
  <dimension ref="A1:M67"/>
  <sheetViews>
    <sheetView workbookViewId="0">
      <selection activeCell="O29" sqref="O29"/>
    </sheetView>
  </sheetViews>
  <sheetFormatPr baseColWidth="10" defaultColWidth="8.83203125" defaultRowHeight="15" x14ac:dyDescent="0.2"/>
  <cols>
    <col min="1" max="1" width="30" customWidth="1"/>
    <col min="2" max="2" width="13.83203125" bestFit="1" customWidth="1"/>
    <col min="3" max="13" width="12" customWidth="1"/>
  </cols>
  <sheetData>
    <row r="1" spans="1:13" ht="19" x14ac:dyDescent="0.25">
      <c r="A1" s="13" t="s">
        <v>67</v>
      </c>
      <c r="B1" s="13"/>
      <c r="C1" s="13"/>
      <c r="D1" s="13"/>
      <c r="E1" s="13"/>
      <c r="F1" s="13"/>
      <c r="G1" s="13"/>
      <c r="H1" s="13"/>
      <c r="I1" s="13"/>
      <c r="J1" s="13"/>
      <c r="K1" s="13"/>
      <c r="L1" s="13"/>
      <c r="M1" s="13"/>
    </row>
    <row r="3" spans="1:13" x14ac:dyDescent="0.2">
      <c r="A3" s="14" t="s">
        <v>24</v>
      </c>
      <c r="B3" s="14"/>
      <c r="C3" s="14"/>
      <c r="D3" s="14"/>
      <c r="E3" s="14"/>
      <c r="F3" s="14"/>
      <c r="G3" s="14"/>
      <c r="H3" s="14"/>
      <c r="I3" s="14"/>
      <c r="J3" s="14"/>
      <c r="K3" s="14"/>
      <c r="L3" s="14"/>
      <c r="M3" s="14"/>
    </row>
    <row r="4" spans="1:13" ht="16" x14ac:dyDescent="0.2">
      <c r="A4" s="15" t="s">
        <v>25</v>
      </c>
      <c r="B4" s="16">
        <v>1</v>
      </c>
      <c r="C4" s="16">
        <v>2</v>
      </c>
      <c r="D4" s="16">
        <v>3</v>
      </c>
      <c r="E4" s="16">
        <v>4</v>
      </c>
      <c r="F4" s="16">
        <v>5</v>
      </c>
      <c r="G4" s="16">
        <v>6</v>
      </c>
      <c r="H4" s="16">
        <v>7</v>
      </c>
      <c r="I4" s="16">
        <v>8</v>
      </c>
      <c r="J4" s="16">
        <v>9</v>
      </c>
      <c r="K4" s="16">
        <v>10</v>
      </c>
    </row>
    <row r="5" spans="1:13" x14ac:dyDescent="0.2">
      <c r="A5" s="17" t="s">
        <v>26</v>
      </c>
      <c r="B5" s="18">
        <v>9.8600000000000007E-3</v>
      </c>
      <c r="C5" s="18">
        <v>1.516E-2</v>
      </c>
      <c r="D5" s="18">
        <v>1.6990000000000002E-2</v>
      </c>
      <c r="E5" s="18">
        <v>1.8599999999999998E-2</v>
      </c>
      <c r="F5" s="18">
        <v>1.9369999999999998E-2</v>
      </c>
      <c r="G5" s="18">
        <v>2.0320000000000001E-2</v>
      </c>
      <c r="H5" s="18">
        <v>2.1129999999999999E-2</v>
      </c>
      <c r="I5" s="18">
        <v>2.1919999999999999E-2</v>
      </c>
      <c r="J5" s="18">
        <v>2.2669999999999999E-2</v>
      </c>
      <c r="K5" s="18">
        <v>2.3390000000000001E-2</v>
      </c>
    </row>
    <row r="6" spans="1:13" x14ac:dyDescent="0.2">
      <c r="A6" s="19" t="s">
        <v>20</v>
      </c>
      <c r="B6">
        <v>622</v>
      </c>
      <c r="C6">
        <v>550</v>
      </c>
      <c r="D6">
        <v>573</v>
      </c>
      <c r="E6">
        <v>312</v>
      </c>
      <c r="F6">
        <v>431</v>
      </c>
      <c r="G6">
        <v>402</v>
      </c>
      <c r="H6">
        <v>356</v>
      </c>
      <c r="I6">
        <v>299</v>
      </c>
      <c r="J6">
        <v>206</v>
      </c>
      <c r="K6">
        <v>93</v>
      </c>
    </row>
    <row r="7" spans="1:13" x14ac:dyDescent="0.2">
      <c r="A7" s="19" t="s">
        <v>27</v>
      </c>
      <c r="B7">
        <f t="shared" ref="B7:K7" si="0">B4*B6/(1+B5)^B4</f>
        <v>615.92696017269725</v>
      </c>
      <c r="C7">
        <f t="shared" si="0"/>
        <v>1067.3913795090548</v>
      </c>
      <c r="D7">
        <f t="shared" si="0"/>
        <v>1634.2776033053221</v>
      </c>
      <c r="E7">
        <f t="shared" si="0"/>
        <v>1159.3108434236221</v>
      </c>
      <c r="F7">
        <f t="shared" si="0"/>
        <v>1957.888852141605</v>
      </c>
      <c r="G7">
        <f t="shared" si="0"/>
        <v>2137.7597979764441</v>
      </c>
      <c r="H7">
        <f t="shared" si="0"/>
        <v>2152.6865071563848</v>
      </c>
      <c r="I7">
        <f t="shared" si="0"/>
        <v>2011.064430754737</v>
      </c>
      <c r="J7">
        <f t="shared" si="0"/>
        <v>1515.2702086276274</v>
      </c>
      <c r="K7">
        <f t="shared" si="0"/>
        <v>738.02531504426327</v>
      </c>
    </row>
    <row r="8" spans="1:13" x14ac:dyDescent="0.2">
      <c r="A8" s="19" t="s">
        <v>28</v>
      </c>
      <c r="B8">
        <f t="shared" ref="B8:K8" si="1">B6/(1+B5)^B4</f>
        <v>615.92696017269725</v>
      </c>
      <c r="C8">
        <f t="shared" si="1"/>
        <v>533.69568975452739</v>
      </c>
      <c r="D8">
        <f t="shared" si="1"/>
        <v>544.75920110177412</v>
      </c>
      <c r="E8">
        <f t="shared" si="1"/>
        <v>289.82771085590554</v>
      </c>
      <c r="F8">
        <f t="shared" si="1"/>
        <v>391.577770428321</v>
      </c>
      <c r="G8">
        <f t="shared" si="1"/>
        <v>356.29329966274065</v>
      </c>
      <c r="H8">
        <f t="shared" si="1"/>
        <v>307.52664387948352</v>
      </c>
      <c r="I8">
        <f t="shared" si="1"/>
        <v>251.38305384434213</v>
      </c>
      <c r="J8">
        <f t="shared" si="1"/>
        <v>168.36335651418082</v>
      </c>
      <c r="K8">
        <f t="shared" si="1"/>
        <v>73.802531504426327</v>
      </c>
    </row>
    <row r="9" spans="1:13" x14ac:dyDescent="0.2">
      <c r="A9" s="19" t="s">
        <v>29</v>
      </c>
      <c r="B9" s="20">
        <f>SUM(B7:K7)/SUM(B8:K8)</f>
        <v>4.2425528265465644</v>
      </c>
    </row>
    <row r="11" spans="1:13" ht="16" x14ac:dyDescent="0.2">
      <c r="A11" s="21" t="s">
        <v>30</v>
      </c>
      <c r="B11" s="16">
        <v>1</v>
      </c>
      <c r="C11" s="16">
        <v>2</v>
      </c>
      <c r="D11" s="16">
        <v>3</v>
      </c>
      <c r="E11" s="16">
        <v>4</v>
      </c>
      <c r="F11" s="16">
        <v>5</v>
      </c>
      <c r="G11" s="16">
        <v>6</v>
      </c>
      <c r="H11" s="16">
        <v>7</v>
      </c>
      <c r="I11" s="16">
        <v>8</v>
      </c>
      <c r="J11" s="16">
        <v>9</v>
      </c>
      <c r="K11" s="16">
        <v>10</v>
      </c>
    </row>
    <row r="12" spans="1:13" x14ac:dyDescent="0.2">
      <c r="A12" s="17" t="s">
        <v>26</v>
      </c>
      <c r="B12" s="18">
        <v>9.8600000000000007E-3</v>
      </c>
      <c r="C12" s="18">
        <v>1.516E-2</v>
      </c>
      <c r="D12" s="18">
        <v>1.6990000000000002E-2</v>
      </c>
      <c r="E12" s="18">
        <v>1.8599999999999998E-2</v>
      </c>
      <c r="F12" s="18">
        <v>1.9369999999999998E-2</v>
      </c>
      <c r="G12" s="18">
        <v>2.0320000000000001E-2</v>
      </c>
      <c r="H12" s="18">
        <v>2.1129999999999999E-2</v>
      </c>
      <c r="I12" s="18">
        <v>2.1919999999999999E-2</v>
      </c>
      <c r="J12" s="18">
        <v>2.2669999999999999E-2</v>
      </c>
      <c r="K12" s="18">
        <v>2.3390000000000001E-2</v>
      </c>
    </row>
    <row r="13" spans="1:13" x14ac:dyDescent="0.2">
      <c r="A13" s="19" t="s">
        <v>19</v>
      </c>
      <c r="B13">
        <v>597</v>
      </c>
      <c r="C13">
        <v>565</v>
      </c>
      <c r="D13">
        <v>488</v>
      </c>
      <c r="E13">
        <v>472</v>
      </c>
      <c r="F13">
        <v>414</v>
      </c>
      <c r="G13">
        <v>380</v>
      </c>
      <c r="H13">
        <v>361</v>
      </c>
      <c r="I13">
        <v>322</v>
      </c>
      <c r="J13">
        <v>297</v>
      </c>
      <c r="K13">
        <v>288</v>
      </c>
    </row>
    <row r="14" spans="1:13" x14ac:dyDescent="0.2">
      <c r="A14" s="19" t="s">
        <v>27</v>
      </c>
      <c r="B14">
        <f t="shared" ref="B14:K14" si="2">B11*B13/(1+B12)^B11</f>
        <v>591.17105341334445</v>
      </c>
      <c r="C14">
        <f t="shared" si="2"/>
        <v>1096.5020534956655</v>
      </c>
      <c r="D14">
        <f t="shared" si="2"/>
        <v>1391.845498102962</v>
      </c>
      <c r="E14">
        <f t="shared" si="2"/>
        <v>1753.8292246665051</v>
      </c>
      <c r="F14">
        <f t="shared" si="2"/>
        <v>1880.6635377879918</v>
      </c>
      <c r="G14">
        <f t="shared" si="2"/>
        <v>2020.7679682364396</v>
      </c>
      <c r="H14">
        <f t="shared" si="2"/>
        <v>2182.920868211952</v>
      </c>
      <c r="I14">
        <f t="shared" si="2"/>
        <v>2165.7616946589478</v>
      </c>
      <c r="J14">
        <f t="shared" si="2"/>
        <v>2184.6371454485698</v>
      </c>
      <c r="K14">
        <f t="shared" si="2"/>
        <v>2285.4977498144926</v>
      </c>
    </row>
    <row r="15" spans="1:13" x14ac:dyDescent="0.2">
      <c r="A15" s="19" t="s">
        <v>28</v>
      </c>
      <c r="B15">
        <f t="shared" ref="B15:K15" si="3">B13/(1+B12)^B11</f>
        <v>591.17105341334445</v>
      </c>
      <c r="C15">
        <f t="shared" si="3"/>
        <v>548.25102674783273</v>
      </c>
      <c r="D15">
        <f t="shared" si="3"/>
        <v>463.94849936765399</v>
      </c>
      <c r="E15">
        <f t="shared" si="3"/>
        <v>438.45730616662627</v>
      </c>
      <c r="F15">
        <f t="shared" si="3"/>
        <v>376.13270755759834</v>
      </c>
      <c r="G15">
        <f t="shared" si="3"/>
        <v>336.79466137273994</v>
      </c>
      <c r="H15">
        <f t="shared" si="3"/>
        <v>311.84583831599315</v>
      </c>
      <c r="I15">
        <f t="shared" si="3"/>
        <v>270.72021183236848</v>
      </c>
      <c r="J15">
        <f t="shared" si="3"/>
        <v>242.73746060539662</v>
      </c>
      <c r="K15">
        <f t="shared" si="3"/>
        <v>228.54977498144927</v>
      </c>
    </row>
    <row r="16" spans="1:13" x14ac:dyDescent="0.2">
      <c r="A16" s="19" t="s">
        <v>31</v>
      </c>
      <c r="B16" s="20">
        <f>SUM(B14:K14)/SUM(B15:K15)</f>
        <v>4.6089264905584209</v>
      </c>
    </row>
    <row r="18" spans="1:13" ht="16" x14ac:dyDescent="0.2">
      <c r="A18" s="22" t="s">
        <v>32</v>
      </c>
      <c r="B18" s="22"/>
      <c r="C18" s="22"/>
      <c r="D18" s="22"/>
      <c r="E18" s="22"/>
      <c r="F18" s="22"/>
      <c r="G18" s="22"/>
      <c r="H18" s="22"/>
      <c r="I18" s="22"/>
      <c r="J18" s="22"/>
      <c r="K18" s="22"/>
      <c r="L18" s="22"/>
      <c r="M18" s="22"/>
    </row>
    <row r="19" spans="1:13" x14ac:dyDescent="0.2">
      <c r="A19" s="19" t="s">
        <v>33</v>
      </c>
      <c r="B19" s="20">
        <f>-1/(1+0.01)*B9</f>
        <v>-4.2005473530164004</v>
      </c>
    </row>
    <row r="20" spans="1:13" x14ac:dyDescent="0.2">
      <c r="A20" s="19" t="s">
        <v>34</v>
      </c>
      <c r="B20" s="20">
        <f>-1/(1+0.01)*B16</f>
        <v>-4.5632935550083378</v>
      </c>
    </row>
    <row r="22" spans="1:13" x14ac:dyDescent="0.2">
      <c r="A22" s="14" t="s">
        <v>35</v>
      </c>
      <c r="B22" s="14"/>
      <c r="C22" s="14"/>
      <c r="D22" s="14"/>
      <c r="E22" s="14"/>
      <c r="F22" s="14"/>
      <c r="G22" s="14"/>
      <c r="H22" s="14"/>
      <c r="I22" s="14"/>
      <c r="J22" s="14"/>
      <c r="K22" s="14"/>
      <c r="L22" s="14"/>
      <c r="M22" s="14"/>
    </row>
    <row r="23" spans="1:13" x14ac:dyDescent="0.2">
      <c r="A23" s="23" t="s">
        <v>36</v>
      </c>
      <c r="B23" s="23"/>
      <c r="C23" s="23"/>
      <c r="D23" s="23"/>
      <c r="E23" s="23"/>
      <c r="F23" s="23"/>
      <c r="G23" s="23"/>
      <c r="H23" s="23"/>
      <c r="I23" s="23"/>
      <c r="J23" s="23"/>
      <c r="K23" s="23"/>
      <c r="L23" s="23"/>
      <c r="M23" s="23"/>
    </row>
    <row r="25" spans="1:13" x14ac:dyDescent="0.2">
      <c r="A25" s="14" t="s">
        <v>37</v>
      </c>
      <c r="B25" s="14"/>
      <c r="C25" s="14"/>
      <c r="D25" s="14"/>
      <c r="E25" s="14"/>
      <c r="F25" s="14"/>
      <c r="G25" s="14"/>
      <c r="H25" s="14"/>
      <c r="I25" s="14"/>
      <c r="J25" s="14"/>
      <c r="K25" s="14"/>
      <c r="L25" s="14"/>
      <c r="M25" s="14"/>
    </row>
    <row r="26" spans="1:13" x14ac:dyDescent="0.2">
      <c r="A26" s="23" t="s">
        <v>38</v>
      </c>
      <c r="B26" s="23"/>
      <c r="C26" s="23"/>
      <c r="D26" s="23"/>
      <c r="E26" s="23"/>
      <c r="F26" s="23"/>
      <c r="G26" s="23"/>
      <c r="H26" s="23"/>
      <c r="I26" s="23"/>
      <c r="J26" s="23"/>
      <c r="K26" s="23"/>
      <c r="L26" s="23"/>
      <c r="M26" s="23"/>
    </row>
    <row r="29" spans="1:13" x14ac:dyDescent="0.2">
      <c r="A29" s="14" t="s">
        <v>39</v>
      </c>
      <c r="B29" s="14"/>
      <c r="C29" s="14"/>
      <c r="D29" s="14"/>
      <c r="E29" s="14"/>
      <c r="F29" s="14"/>
      <c r="G29" s="14"/>
      <c r="H29" s="14"/>
      <c r="I29" s="14"/>
      <c r="J29" s="14"/>
      <c r="K29" s="14"/>
      <c r="L29" s="14"/>
      <c r="M29" s="14"/>
    </row>
    <row r="30" spans="1:13" x14ac:dyDescent="0.2">
      <c r="A30" s="23" t="s">
        <v>40</v>
      </c>
      <c r="B30" s="23"/>
      <c r="C30" s="23"/>
      <c r="D30" s="23"/>
      <c r="E30" s="23"/>
      <c r="F30" s="23"/>
      <c r="G30" s="23"/>
      <c r="H30" s="23"/>
      <c r="I30" s="23"/>
      <c r="J30" s="23"/>
      <c r="K30" s="23"/>
      <c r="L30" s="23"/>
      <c r="M30" s="23"/>
    </row>
    <row r="33" spans="1:13" x14ac:dyDescent="0.2">
      <c r="A33" s="14" t="s">
        <v>41</v>
      </c>
      <c r="B33" s="14"/>
      <c r="C33" s="14"/>
      <c r="D33" s="14"/>
      <c r="E33" s="14"/>
      <c r="F33" s="14"/>
      <c r="G33" s="14"/>
      <c r="H33" s="14"/>
      <c r="I33" s="14"/>
      <c r="J33" s="14"/>
      <c r="K33" s="14"/>
      <c r="L33" s="14"/>
      <c r="M33" s="14"/>
    </row>
    <row r="34" spans="1:13" x14ac:dyDescent="0.2">
      <c r="A34" s="23" t="s">
        <v>42</v>
      </c>
      <c r="B34" s="23"/>
      <c r="C34" s="23"/>
      <c r="D34" s="23"/>
      <c r="E34" s="23"/>
      <c r="F34" s="23"/>
      <c r="G34" s="23"/>
      <c r="H34" s="23"/>
      <c r="I34" s="23"/>
      <c r="J34" s="23"/>
      <c r="K34" s="23"/>
      <c r="L34" s="23"/>
      <c r="M34" s="23"/>
    </row>
    <row r="37" spans="1:13" x14ac:dyDescent="0.2">
      <c r="A37" s="14" t="s">
        <v>43</v>
      </c>
      <c r="B37" s="14"/>
      <c r="C37" s="14"/>
      <c r="D37" s="14"/>
      <c r="E37" s="14"/>
      <c r="F37" s="14"/>
      <c r="G37" s="14"/>
      <c r="H37" s="14"/>
      <c r="I37" s="14"/>
      <c r="J37" s="14"/>
      <c r="K37" s="14"/>
      <c r="L37" s="14"/>
      <c r="M37" s="14"/>
    </row>
    <row r="38" spans="1:13" x14ac:dyDescent="0.2">
      <c r="A38" s="23" t="s">
        <v>44</v>
      </c>
      <c r="B38" s="23"/>
      <c r="C38" s="23"/>
      <c r="D38" s="23"/>
      <c r="E38" s="23"/>
      <c r="F38" s="23"/>
      <c r="G38" s="23"/>
      <c r="H38" s="23"/>
      <c r="I38" s="23"/>
      <c r="J38" s="23"/>
      <c r="K38" s="23"/>
      <c r="L38" s="23"/>
      <c r="M38" s="23"/>
    </row>
    <row r="40" spans="1:13" ht="16" x14ac:dyDescent="0.2">
      <c r="A40" s="24" t="s">
        <v>10</v>
      </c>
      <c r="B40" s="24" t="s">
        <v>45</v>
      </c>
      <c r="C40" s="24" t="s">
        <v>46</v>
      </c>
      <c r="D40" s="24" t="s">
        <v>47</v>
      </c>
    </row>
    <row r="41" spans="1:13" x14ac:dyDescent="0.2">
      <c r="A41" s="19" t="s">
        <v>48</v>
      </c>
      <c r="B41" s="19">
        <v>40</v>
      </c>
      <c r="C41" s="19">
        <v>5</v>
      </c>
      <c r="D41" s="19">
        <v>45</v>
      </c>
    </row>
    <row r="42" spans="1:13" x14ac:dyDescent="0.2">
      <c r="A42" s="19" t="s">
        <v>49</v>
      </c>
      <c r="B42" s="19">
        <v>40</v>
      </c>
      <c r="C42" s="19">
        <v>5</v>
      </c>
      <c r="D42" s="19">
        <v>45</v>
      </c>
    </row>
    <row r="43" spans="1:13" x14ac:dyDescent="0.2">
      <c r="A43" s="19" t="s">
        <v>50</v>
      </c>
      <c r="B43" s="19">
        <v>40</v>
      </c>
      <c r="C43" s="19">
        <v>5</v>
      </c>
      <c r="D43" s="19">
        <v>45</v>
      </c>
    </row>
    <row r="44" spans="1:13" x14ac:dyDescent="0.2">
      <c r="A44" s="19" t="s">
        <v>51</v>
      </c>
      <c r="B44" s="19">
        <v>40</v>
      </c>
      <c r="C44" s="19">
        <v>5</v>
      </c>
      <c r="D44" s="19">
        <v>45</v>
      </c>
    </row>
    <row r="45" spans="1:13" x14ac:dyDescent="0.2">
      <c r="A45" s="19" t="s">
        <v>52</v>
      </c>
      <c r="B45" s="19">
        <v>40</v>
      </c>
      <c r="C45" s="19">
        <v>5</v>
      </c>
      <c r="D45" s="19">
        <v>45</v>
      </c>
    </row>
    <row r="47" spans="1:13" x14ac:dyDescent="0.2">
      <c r="A47" s="14" t="s">
        <v>53</v>
      </c>
      <c r="B47" s="14"/>
      <c r="C47" s="14"/>
      <c r="D47" s="14"/>
      <c r="E47" s="14"/>
      <c r="F47" s="14"/>
      <c r="G47" s="14"/>
      <c r="H47" s="14"/>
      <c r="I47" s="14"/>
      <c r="J47" s="14"/>
      <c r="K47" s="14"/>
      <c r="L47" s="14"/>
      <c r="M47" s="14"/>
    </row>
    <row r="48" spans="1:13" x14ac:dyDescent="0.2">
      <c r="A48" s="23" t="s">
        <v>54</v>
      </c>
      <c r="B48" s="23"/>
      <c r="C48" s="23"/>
      <c r="D48" s="23"/>
      <c r="E48" s="23"/>
      <c r="F48" s="23"/>
      <c r="G48" s="23"/>
      <c r="H48" s="23"/>
      <c r="I48" s="23"/>
      <c r="J48" s="23"/>
      <c r="K48" s="23"/>
      <c r="L48" s="23"/>
      <c r="M48" s="23"/>
    </row>
    <row r="51" spans="1:13" x14ac:dyDescent="0.2">
      <c r="A51" s="14" t="s">
        <v>55</v>
      </c>
      <c r="B51" s="14"/>
      <c r="C51" s="14"/>
      <c r="D51" s="14"/>
      <c r="E51" s="14"/>
      <c r="F51" s="14"/>
      <c r="G51" s="14"/>
      <c r="H51" s="14"/>
      <c r="I51" s="14"/>
      <c r="J51" s="14"/>
      <c r="K51" s="14"/>
      <c r="L51" s="14"/>
      <c r="M51" s="14"/>
    </row>
    <row r="52" spans="1:13" x14ac:dyDescent="0.2">
      <c r="A52" s="23" t="s">
        <v>56</v>
      </c>
      <c r="B52" s="23"/>
      <c r="C52" s="23"/>
      <c r="D52" s="23"/>
      <c r="E52" s="23"/>
      <c r="F52" s="23"/>
      <c r="G52" s="23"/>
      <c r="H52" s="23"/>
      <c r="I52" s="23"/>
      <c r="J52" s="23"/>
      <c r="K52" s="23"/>
      <c r="L52" s="23"/>
      <c r="M52" s="23"/>
    </row>
    <row r="53" spans="1:13" x14ac:dyDescent="0.2">
      <c r="A53" s="19" t="s">
        <v>57</v>
      </c>
      <c r="B53" s="19">
        <f>0.05*(180/360)*1000</f>
        <v>25</v>
      </c>
      <c r="C53" s="25">
        <v>25</v>
      </c>
    </row>
    <row r="55" spans="1:13" x14ac:dyDescent="0.2">
      <c r="A55" s="14" t="s">
        <v>58</v>
      </c>
      <c r="B55" s="14"/>
      <c r="C55" s="14"/>
      <c r="D55" s="14"/>
      <c r="E55" s="14"/>
      <c r="F55" s="14"/>
      <c r="G55" s="14"/>
      <c r="H55" s="14"/>
      <c r="I55" s="14"/>
      <c r="J55" s="14"/>
      <c r="K55" s="14"/>
      <c r="L55" s="14"/>
      <c r="M55" s="14"/>
    </row>
    <row r="56" spans="1:13" x14ac:dyDescent="0.2">
      <c r="A56" s="23" t="s">
        <v>59</v>
      </c>
      <c r="B56" s="23"/>
      <c r="C56" s="23"/>
      <c r="D56" s="23"/>
      <c r="E56" s="23"/>
      <c r="F56" s="23"/>
      <c r="G56" s="23"/>
      <c r="H56" s="23"/>
      <c r="I56" s="23"/>
      <c r="J56" s="23"/>
      <c r="K56" s="23"/>
      <c r="L56" s="23"/>
      <c r="M56" s="23"/>
    </row>
    <row r="57" spans="1:13" x14ac:dyDescent="0.2">
      <c r="A57" s="23" t="s">
        <v>60</v>
      </c>
      <c r="B57" s="23"/>
      <c r="C57" s="23"/>
      <c r="D57" s="23"/>
      <c r="E57" s="23"/>
      <c r="F57" s="23"/>
      <c r="G57" s="23"/>
      <c r="H57" s="23"/>
      <c r="I57" s="23"/>
      <c r="J57" s="23"/>
      <c r="K57" s="23"/>
      <c r="L57" s="23"/>
      <c r="M57" s="23"/>
    </row>
    <row r="60" spans="1:13" x14ac:dyDescent="0.2">
      <c r="A60" s="14" t="s">
        <v>61</v>
      </c>
      <c r="B60" s="14"/>
      <c r="C60" s="14"/>
      <c r="D60" s="14"/>
      <c r="E60" s="14"/>
      <c r="F60" s="14"/>
      <c r="G60" s="14"/>
      <c r="H60" s="14"/>
      <c r="I60" s="14"/>
      <c r="J60" s="14"/>
      <c r="K60" s="14"/>
      <c r="L60" s="14"/>
      <c r="M60" s="14"/>
    </row>
    <row r="61" spans="1:13" x14ac:dyDescent="0.2">
      <c r="A61" s="23" t="s">
        <v>62</v>
      </c>
      <c r="B61" s="23"/>
      <c r="C61" s="23"/>
      <c r="D61" s="23"/>
      <c r="E61" s="23"/>
      <c r="F61" s="23"/>
      <c r="G61" s="23"/>
      <c r="H61" s="23"/>
      <c r="I61" s="23"/>
      <c r="J61" s="23"/>
      <c r="K61" s="23"/>
      <c r="L61" s="23"/>
      <c r="M61" s="23"/>
    </row>
    <row r="62" spans="1:13" x14ac:dyDescent="0.2">
      <c r="A62" s="19" t="s">
        <v>63</v>
      </c>
      <c r="B62" s="26">
        <v>108.8445355227726</v>
      </c>
    </row>
    <row r="65" spans="1:13" x14ac:dyDescent="0.2">
      <c r="A65" s="14" t="s">
        <v>64</v>
      </c>
      <c r="B65" s="14"/>
      <c r="C65" s="14"/>
      <c r="D65" s="14"/>
      <c r="E65" s="14"/>
      <c r="F65" s="14"/>
      <c r="G65" s="14"/>
      <c r="H65" s="14"/>
      <c r="I65" s="14"/>
      <c r="J65" s="14"/>
      <c r="K65" s="14"/>
      <c r="L65" s="14"/>
      <c r="M65" s="14"/>
    </row>
    <row r="66" spans="1:13" x14ac:dyDescent="0.2">
      <c r="A66" s="23" t="s">
        <v>65</v>
      </c>
      <c r="B66" s="23"/>
      <c r="C66" s="23"/>
      <c r="D66" s="23"/>
      <c r="E66" s="23"/>
      <c r="F66" s="23"/>
      <c r="G66" s="23"/>
      <c r="H66" s="23"/>
      <c r="I66" s="23"/>
      <c r="J66" s="23"/>
      <c r="K66" s="23"/>
      <c r="L66" s="23"/>
      <c r="M66" s="23"/>
    </row>
    <row r="67" spans="1:13" x14ac:dyDescent="0.2">
      <c r="A67" s="19" t="s">
        <v>66</v>
      </c>
      <c r="B67" s="26">
        <v>97.508044344970827</v>
      </c>
    </row>
  </sheetData>
  <mergeCells count="24">
    <mergeCell ref="A56:M56"/>
    <mergeCell ref="A57:M57"/>
    <mergeCell ref="A60:M60"/>
    <mergeCell ref="A61:M61"/>
    <mergeCell ref="A65:M65"/>
    <mergeCell ref="A66:M66"/>
    <mergeCell ref="A38:M38"/>
    <mergeCell ref="A47:M47"/>
    <mergeCell ref="A48:M48"/>
    <mergeCell ref="A51:M51"/>
    <mergeCell ref="A52:M52"/>
    <mergeCell ref="A55:M55"/>
    <mergeCell ref="A26:M26"/>
    <mergeCell ref="A29:M29"/>
    <mergeCell ref="A30:M30"/>
    <mergeCell ref="A33:M33"/>
    <mergeCell ref="A34:M34"/>
    <mergeCell ref="A37:M37"/>
    <mergeCell ref="A1:M1"/>
    <mergeCell ref="A3:M3"/>
    <mergeCell ref="A18:M18"/>
    <mergeCell ref="A22:M22"/>
    <mergeCell ref="A23:M23"/>
    <mergeCell ref="A25:M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Partie 1</vt:lpstr>
      <vt:lpstr>Partie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2025-11-08T00:38:38Z</dcterms:created>
  <dcterms:modified xsi:type="dcterms:W3CDTF">2025-11-08T23:37:00Z</dcterms:modified>
</cp:coreProperties>
</file>