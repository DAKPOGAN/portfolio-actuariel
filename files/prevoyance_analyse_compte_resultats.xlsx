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A96BCCB0-3731-F24E-8A35-48E937F21FB6}" xr6:coauthVersionLast="47" xr6:coauthVersionMax="47" xr10:uidLastSave="{00000000-0000-0000-0000-000000000000}"/>
  <bookViews>
    <workbookView xWindow="1080" yWindow="1520" windowWidth="34980" windowHeight="17800" xr2:uid="{00000000-000D-0000-FFFF-FFFF00000000}"/>
  </bookViews>
  <sheets>
    <sheet name="Résolu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6" i="1" l="1"/>
  <c r="C76" i="1"/>
  <c r="D76" i="1"/>
  <c r="E76" i="1"/>
  <c r="F76" i="1"/>
  <c r="B76" i="1"/>
  <c r="F97" i="1"/>
  <c r="E97" i="1"/>
  <c r="E98" i="1"/>
  <c r="D97" i="1"/>
  <c r="D98" i="1"/>
  <c r="D99" i="1"/>
  <c r="C97" i="1"/>
  <c r="C98" i="1"/>
  <c r="C99" i="1"/>
  <c r="C100" i="1"/>
  <c r="D96" i="1"/>
  <c r="E96" i="1"/>
  <c r="F96" i="1"/>
  <c r="G96" i="1"/>
  <c r="G103" i="1" s="1"/>
  <c r="G92" i="1" s="1"/>
  <c r="C96" i="1"/>
  <c r="B97" i="1"/>
  <c r="B98" i="1"/>
  <c r="B99" i="1"/>
  <c r="B100" i="1"/>
  <c r="B101" i="1"/>
  <c r="B96" i="1"/>
  <c r="G38" i="1"/>
  <c r="I38" i="1" s="1"/>
  <c r="G37" i="1"/>
  <c r="I37" i="1" s="1"/>
  <c r="G36" i="1"/>
  <c r="I36" i="1" s="1"/>
  <c r="G35" i="1"/>
  <c r="I35" i="1" s="1"/>
  <c r="G34" i="1"/>
  <c r="I34" i="1" s="1"/>
  <c r="G33" i="1"/>
  <c r="I33" i="1" s="1"/>
  <c r="G32" i="1"/>
  <c r="I32" i="1" s="1"/>
  <c r="G31" i="1"/>
  <c r="H31" i="1" s="1"/>
  <c r="G30" i="1"/>
  <c r="I30" i="1" s="1"/>
  <c r="G75" i="1"/>
  <c r="F75" i="1"/>
  <c r="E75" i="1"/>
  <c r="D75" i="1"/>
  <c r="C75" i="1"/>
  <c r="B75" i="1"/>
  <c r="E66" i="1"/>
  <c r="E65" i="1"/>
  <c r="E64" i="1"/>
  <c r="E63" i="1"/>
  <c r="E62" i="1"/>
  <c r="E61" i="1"/>
  <c r="E60" i="1"/>
  <c r="E59" i="1"/>
  <c r="E58" i="1"/>
  <c r="E57" i="1"/>
  <c r="E56" i="1"/>
  <c r="E55" i="1"/>
  <c r="E54" i="1"/>
  <c r="E53" i="1"/>
  <c r="E52" i="1"/>
  <c r="E51" i="1"/>
  <c r="E50" i="1"/>
  <c r="E49" i="1"/>
  <c r="E48" i="1"/>
  <c r="E47" i="1"/>
  <c r="E46" i="1"/>
  <c r="E45" i="1"/>
  <c r="E44" i="1"/>
  <c r="I26" i="1"/>
  <c r="H26" i="1"/>
  <c r="I25" i="1"/>
  <c r="H25" i="1"/>
  <c r="I24" i="1"/>
  <c r="H24" i="1"/>
  <c r="I23" i="1"/>
  <c r="H23" i="1"/>
  <c r="I22" i="1"/>
  <c r="H22" i="1"/>
  <c r="I21" i="1"/>
  <c r="H21" i="1"/>
  <c r="I20" i="1"/>
  <c r="H20" i="1"/>
  <c r="I19" i="1"/>
  <c r="H19" i="1"/>
  <c r="I18" i="1"/>
  <c r="H18" i="1"/>
  <c r="I14" i="1"/>
  <c r="H14" i="1"/>
  <c r="I13" i="1"/>
  <c r="H13" i="1"/>
  <c r="I12" i="1"/>
  <c r="H12" i="1"/>
  <c r="I11" i="1"/>
  <c r="H11" i="1"/>
  <c r="I10" i="1"/>
  <c r="H10" i="1"/>
  <c r="I9" i="1"/>
  <c r="H9" i="1"/>
  <c r="I8" i="1"/>
  <c r="H8" i="1"/>
  <c r="I7" i="1"/>
  <c r="H7" i="1"/>
  <c r="I6" i="1"/>
  <c r="H6" i="1"/>
  <c r="B103" i="1" l="1"/>
  <c r="B92" i="1" s="1"/>
  <c r="C103" i="1"/>
  <c r="C92" i="1" s="1"/>
  <c r="F103" i="1"/>
  <c r="F92" i="1" s="1"/>
  <c r="E103" i="1"/>
  <c r="E92" i="1" s="1"/>
  <c r="D103" i="1"/>
  <c r="D92" i="1" s="1"/>
  <c r="I31" i="1"/>
  <c r="H34" i="1"/>
  <c r="H32" i="1"/>
  <c r="H35" i="1"/>
  <c r="H33" i="1"/>
  <c r="H36" i="1"/>
  <c r="H30" i="1"/>
  <c r="H37" i="1"/>
  <c r="H38" i="1"/>
</calcChain>
</file>

<file path=xl/sharedStrings.xml><?xml version="1.0" encoding="utf-8"?>
<sst xmlns="http://schemas.openxmlformats.org/spreadsheetml/2006/main" count="126" uniqueCount="82">
  <si>
    <t>Analyse Technique – Prévoyance</t>
  </si>
  <si>
    <t>Q1. Compte technique : détaillez les cotisations, prestations, provisions et sinistres pour les prestations d'Arrêt de travail et Décès ; calculez le solde technique et le ratio S/P par année.</t>
  </si>
  <si>
    <t>Arrêt de travail</t>
  </si>
  <si>
    <t>Survenance</t>
  </si>
  <si>
    <t>&lt;=2010</t>
  </si>
  <si>
    <t>Total 2010-2015</t>
  </si>
  <si>
    <t>Total</t>
  </si>
  <si>
    <t>Décès</t>
  </si>
  <si>
    <t>Q2. Impact de la réassurance : analysez les montants bruts, la part cédée en réassurance et les montants nets des postes techniques.</t>
  </si>
  <si>
    <t>Poste</t>
  </si>
  <si>
    <t>Brut</t>
  </si>
  <si>
    <t>Réassurance</t>
  </si>
  <si>
    <t>Net</t>
  </si>
  <si>
    <t>Net calculé</t>
  </si>
  <si>
    <t>cotisations émises</t>
  </si>
  <si>
    <t>- provision CNA clôture</t>
  </si>
  <si>
    <t>+ provision CNA ouverture</t>
  </si>
  <si>
    <t>prestations</t>
  </si>
  <si>
    <t>- provisions pour sinistres à payer clôture</t>
  </si>
  <si>
    <t>+ provisions pour sinistres à payer ouverture</t>
  </si>
  <si>
    <t>RESULTAT TECHNIQUE</t>
  </si>
  <si>
    <t>Rapport S/P</t>
  </si>
  <si>
    <t>chargements de gestion</t>
  </si>
  <si>
    <t>- frais de gestion</t>
  </si>
  <si>
    <t>+ commission réassurance</t>
  </si>
  <si>
    <t>RESULTAT DE GESTION</t>
  </si>
  <si>
    <t>produits financiers nets</t>
  </si>
  <si>
    <t>- charges financières</t>
  </si>
  <si>
    <t>+ intérêts sur dépôt des réassureurs</t>
  </si>
  <si>
    <t>RESULTAT FINANCIER</t>
  </si>
  <si>
    <t>produit exceptionnel</t>
  </si>
  <si>
    <t>- charge exceptionnelle</t>
  </si>
  <si>
    <t>RESULTAT EXCEPTIONNEL</t>
  </si>
  <si>
    <t>RESULTAT</t>
  </si>
  <si>
    <t>La réassurance présentée (excédent de sinistres) améliore le ratio S/P de quatre points.
Cependant, la commission de réassurance reste insuffisante pour équilibrer le résultat de gestion.</t>
  </si>
  <si>
    <t>Q3. Boni/Mali : calculez la charge de provisions et le boni ou mali de liquidation pour chaque exercice.</t>
  </si>
  <si>
    <t>2012 et antérieurs</t>
  </si>
  <si>
    <t>2012</t>
  </si>
  <si>
    <t>2013</t>
  </si>
  <si>
    <t>2014</t>
  </si>
  <si>
    <t>2015</t>
  </si>
  <si>
    <t>Règlements de l'année N (1)</t>
  </si>
  <si>
    <t>Provisions au 01/12/N (2)</t>
  </si>
  <si>
    <t>Provisions au 31/12/N (3)</t>
  </si>
  <si>
    <t>Charge de provisions (2)-(3)</t>
  </si>
  <si>
    <t>Boni (+) / mali (-) (2)-(1)-(3)</t>
  </si>
  <si>
    <t>La charge de provisions est la variation nette des provisions entre l'ouverture et la clôture. Le boni (positif) ou mali (négatif) reflète l'écart entre les provisions initiales et les règlements définitifs.</t>
  </si>
  <si>
    <t>Q4. Cadences de règlement : calculez les coefficients d'encaissement pour chaque année de survenance.</t>
  </si>
  <si>
    <t>N+1/N</t>
  </si>
  <si>
    <t>N+2/N+1</t>
  </si>
  <si>
    <t>N+3/N+2</t>
  </si>
  <si>
    <t>N+4/N+3</t>
  </si>
  <si>
    <t>N+5/N+4</t>
  </si>
  <si>
    <t>N+6/N+5</t>
  </si>
  <si>
    <t>2009</t>
  </si>
  <si>
    <t>2010</t>
  </si>
  <si>
    <t>2011</t>
  </si>
  <si>
    <t>=cotisations acquises</t>
  </si>
  <si>
    <t>=charge exercice</t>
  </si>
  <si>
    <r>
      <t xml:space="preserve">Un solde technique déficitaire se traduit par un ratio S/P &gt; 100 % ;
Le compte décès est excédentaire (S/P toutes survenances ≈ 61 %), tandis que le compte arrêt de travail est déficitaire (S/P toutes survenances ≈ 155 %).
Depuis 2013, la diminution du ratio S/P est liée aux indexations tarifaires et à l’amélioration de la sinistralité ;
En arrêt de travail, les efforts tarifaires doivent continuer et les garanties peuvent être ajustées.
</t>
    </r>
    <r>
      <rPr>
        <b/>
        <i/>
        <sz val="14"/>
        <rFont val="Calibri"/>
        <family val="2"/>
      </rPr>
      <t>Évolutions de garanties</t>
    </r>
    <r>
      <rPr>
        <i/>
        <sz val="11"/>
        <rFont val="Calibri"/>
        <family val="2"/>
      </rPr>
      <t xml:space="preserve">
"Afin de piloter l’équilibre technique d’un contrat d’assurance, deux leviers peuvent être utilisés :
• Indexations tarifaires ;
• Évolutions de garanties : évolution des plafonds, franchises, réévaluation des capitaux assurés, etc.
Ce levier est privilégié quand aucune hausse tarifaire n’est souhaitée.
Toute modification d’un contrat collectif doit être constatée par un avenant signé et accompagnée d’une nouvelle notice."										</t>
    </r>
  </si>
  <si>
    <t>Toutes garanties confondues</t>
  </si>
  <si>
    <t>Cotisations nettes de chargement (1)</t>
  </si>
  <si>
    <t>Prestations (2)</t>
  </si>
  <si>
    <t>PSAP (3)</t>
  </si>
  <si>
    <t>PSI (4)</t>
  </si>
  <si>
    <t>Provisions mathématiques (5)</t>
  </si>
  <si>
    <t>Total sinistres (6)</t>
  </si>
  <si>
    <t>Solde technique (1)-(6)</t>
  </si>
  <si>
    <t>S/P (6)/(1)</t>
  </si>
  <si>
    <r>
      <rPr>
        <b/>
        <i/>
        <sz val="14"/>
        <rFont val="Calibri"/>
        <family val="2"/>
      </rPr>
      <t xml:space="preserve">Impact de la Réassurance
</t>
    </r>
    <r>
      <rPr>
        <i/>
        <sz val="11"/>
        <rFont val="Calibri"/>
        <family val="2"/>
      </rPr>
      <t xml:space="preserve">La réassurance présentée (excédent de sinistres) améliore le ratio S/P de quatre points.
Cependant, la commission de réassurance reste insuffisante pour équilibrer le résultat de gestion.
</t>
    </r>
    <r>
      <rPr>
        <b/>
        <i/>
        <sz val="14"/>
        <rFont val="Calibri"/>
        <family val="2"/>
      </rPr>
      <t>Le ratio Sinistres / Primes</t>
    </r>
    <r>
      <rPr>
        <i/>
        <sz val="11"/>
        <rFont val="Calibri"/>
        <family val="2"/>
      </rPr>
      <t xml:space="preserve">
Ce ratio peut être exprimé :
• Brut ou net de frais de gestion ;
• Avec ou sans prise en compte des produits financiers.
P/C net = (Prestations payées + Delta de provisions) / (Cotisations brutes – Frais + Produits financiers)
Le suivi des ratios P/C par exercice de survenance est particulièrement utile en prévoyance car les prestations peuvent s’étaler sur plusieurs années ;
Les garanties arrêt de travail comportent des franchises qui allongent les délais de déclaration et nécessitent des provisions forfaitaires ;
Un historique long et des données précises sont donc nécessaires.</t>
    </r>
  </si>
  <si>
    <t>Année de survenance / Année de règlement</t>
  </si>
  <si>
    <t>N</t>
  </si>
  <si>
    <t>N+1</t>
  </si>
  <si>
    <t>N+2</t>
  </si>
  <si>
    <t>N+3</t>
  </si>
  <si>
    <t>N+4</t>
  </si>
  <si>
    <t>N+5</t>
  </si>
  <si>
    <t>N+6</t>
  </si>
  <si>
    <t>Coefficients sur toutes survenances</t>
  </si>
  <si>
    <t>Moyenne</t>
  </si>
  <si>
    <r>
      <t xml:space="preserve">Un coefficient de 1,50 signifie que 50% supplémentaires des sinistres sont payés l'année suivante; des coefficients proches de 1 indiquent une liquidation rapide.
</t>
    </r>
    <r>
      <rPr>
        <b/>
        <i/>
        <sz val="14"/>
        <rFont val="Calibri"/>
        <family val="2"/>
      </rPr>
      <t>Étude des cadences de règlement</t>
    </r>
    <r>
      <rPr>
        <i/>
        <sz val="11"/>
        <rFont val="Calibri"/>
        <family val="2"/>
      </rPr>
      <t xml:space="preserve">				
"Les évolutions des cadences de règlement peuvent révéler :
• Des retards de gestion ;
• De</t>
    </r>
    <r>
      <rPr>
        <b/>
        <i/>
        <sz val="11"/>
        <rFont val="Calibri"/>
        <family val="2"/>
      </rPr>
      <t>s modifications de comportement des assurés</t>
    </r>
    <r>
      <rPr>
        <i/>
        <sz val="11"/>
        <rFont val="Calibri"/>
        <family val="2"/>
      </rPr>
      <t xml:space="preserve"> ;
• Des évolutions des durées de franchises."				
</t>
    </r>
    <r>
      <rPr>
        <b/>
        <i/>
        <sz val="14"/>
        <rFont val="Calibri"/>
        <family val="2"/>
      </rPr>
      <t xml:space="preserve">Évolution des caractéristiques des assurés	</t>
    </r>
    <r>
      <rPr>
        <i/>
        <sz val="11"/>
        <rFont val="Calibri"/>
        <family val="2"/>
      </rPr>
      <t xml:space="preserve">			
"En prévoyance, la population sous risque est plus difficile à connaître qu’en santé car peu d’assurés ont des sinistres en cours.
L’organisme assureur analyse donc principalement la population sinistrée.
Indicateurs pour la garantie décès :
• Taux de mortalité empiriques comparés aux tables réglementaires ;
• Répartition par situation familiale ;
• Âge moyen ;
• Salaire moyen.
Indicateurs pour la garantie arrêt de travail :
• Taux d’entrée en arrêt (nombre d’arrêts supérieurs à la franchise rapporté à l’effectif assuré) ;
• Durée moyenne des arrêts et comparaison aux tables du BCAC ;
• Âge moyen ;
• Indemnisation moyenne ;
• Motif des arrêts de travail ;
• Passages d’incapacité à invalidité."				
				</t>
    </r>
  </si>
  <si>
    <r>
      <rPr>
        <b/>
        <i/>
        <sz val="14"/>
        <rFont val="Calibri"/>
        <family val="2"/>
      </rPr>
      <t>Indicateurs de production / résiliation</t>
    </r>
    <r>
      <rPr>
        <i/>
        <sz val="11"/>
        <rFont val="Calibri"/>
        <family val="2"/>
      </rPr>
      <t xml:space="preserve">
Les indicateurs de production et de résiliation analysent les caractéristiques des assurés entrants ou sortants du portefeuille.
Pour les résiliations :
• Taux de résiliation par risque ;
• Motifs de résiliation ;
• Âge à la résiliation ;
• Ancienneté moyenne avant résiliation.
Pour les affaires nouvelles :
• Nombre d’affaires nouvelles ;
• Garanties souscrites (capital moyen, rente moyenne…) ;
• Âge à la souscription.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</si>
</sst>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0.00\ [$€-40C]_-;\-* #,##0.00\ [$€-40C]_-;_-* &quot;-&quot;??\ [$€-40C]_-;_-@_-"/>
    <numFmt numFmtId="167" formatCode="_-* #,##0\ [$€-40C]_-;\-* #,##0\ [$€-40C]_-;_-* &quot;-&quot;??\ [$€-40C]_-;_-@_-"/>
    <numFmt numFmtId="171" formatCode="#,##0.00\ &quot;€&quot;"/>
    <numFmt numFmtId="174" formatCode="#,##0\ &quot;€&quot;"/>
  </numFmts>
  <fonts count="14" x14ac:knownFonts="1">
    <font>
      <sz val="11"/>
      <color theme="1"/>
      <name val="Calibri"/>
      <family val="2"/>
      <scheme val="minor"/>
    </font>
    <font>
      <b/>
      <sz val="18"/>
      <color rgb="FFFFFFFF"/>
      <name val="Calibri"/>
      <family val="2"/>
    </font>
    <font>
      <b/>
      <sz val="12"/>
      <color rgb="FFFFFFFF"/>
      <name val="Calibri"/>
      <family val="2"/>
    </font>
    <font>
      <b/>
      <sz val="11"/>
      <color rgb="FF0F4C81"/>
      <name val="Calibri"/>
      <family val="2"/>
    </font>
    <font>
      <b/>
      <sz val="11"/>
      <color rgb="FFFFFFFF"/>
      <name val="Calibri"/>
      <family val="2"/>
    </font>
    <font>
      <i/>
      <sz val="11"/>
      <name val="Calibri"/>
      <family val="2"/>
    </font>
    <font>
      <sz val="11"/>
      <color theme="1"/>
      <name val="Calibri"/>
      <family val="2"/>
      <scheme val="minor"/>
    </font>
    <font>
      <sz val="8"/>
      <name val="Calibri"/>
      <family val="2"/>
      <scheme val="minor"/>
    </font>
    <font>
      <b/>
      <sz val="11"/>
      <color theme="1"/>
      <name val="Calibri"/>
      <family val="2"/>
      <scheme val="minor"/>
    </font>
    <font>
      <b/>
      <i/>
      <sz val="11"/>
      <color theme="1"/>
      <name val="Calibri"/>
      <family val="2"/>
      <scheme val="minor"/>
    </font>
    <font>
      <b/>
      <i/>
      <sz val="14"/>
      <name val="Calibri"/>
      <family val="2"/>
    </font>
    <font>
      <b/>
      <sz val="14"/>
      <name val="Calibri"/>
      <family val="2"/>
    </font>
    <font>
      <sz val="11"/>
      <color theme="0"/>
      <name val="Calibri"/>
      <family val="2"/>
      <scheme val="minor"/>
    </font>
    <font>
      <b/>
      <i/>
      <sz val="11"/>
      <name val="Calibri"/>
      <family val="2"/>
    </font>
  </fonts>
  <fills count="11">
    <fill>
      <patternFill patternType="none"/>
    </fill>
    <fill>
      <patternFill patternType="gray125"/>
    </fill>
    <fill>
      <patternFill patternType="solid">
        <fgColor rgb="FF0F4C81"/>
      </patternFill>
    </fill>
    <fill>
      <patternFill patternType="solid">
        <fgColor rgb="FF7F3FBF"/>
      </patternFill>
    </fill>
    <fill>
      <patternFill patternType="solid">
        <fgColor rgb="FFFFFDE7"/>
      </patternFill>
    </fill>
    <fill>
      <patternFill patternType="solid">
        <fgColor theme="3" tint="0.79998168889431442"/>
        <bgColor indexed="64"/>
      </patternFill>
    </fill>
    <fill>
      <patternFill patternType="solid">
        <fgColor rgb="FF004B8A"/>
        <bgColor rgb="FF004B8A"/>
      </patternFill>
    </fill>
    <fill>
      <patternFill patternType="solid">
        <fgColor theme="0"/>
        <bgColor indexed="64"/>
      </patternFill>
    </fill>
    <fill>
      <patternFill patternType="solid">
        <fgColor theme="0"/>
        <bgColor rgb="FFF5F5F5"/>
      </patternFill>
    </fill>
    <fill>
      <patternFill patternType="solid">
        <fgColor theme="3"/>
        <bgColor rgb="FFF5F5F5"/>
      </patternFill>
    </fill>
    <fill>
      <patternFill patternType="solid">
        <fgColor theme="3"/>
        <bgColor indexed="64"/>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9" fontId="6" fillId="0" borderId="0" applyFont="0" applyFill="0" applyBorder="0" applyAlignment="0" applyProtection="0"/>
  </cellStyleXfs>
  <cellXfs count="55">
    <xf numFmtId="0" fontId="0" fillId="0" borderId="0" xfId="0"/>
    <xf numFmtId="0" fontId="4" fillId="2" borderId="1" xfId="0" applyFont="1" applyFill="1" applyBorder="1" applyAlignment="1">
      <alignment horizontal="center"/>
    </xf>
    <xf numFmtId="0" fontId="0" fillId="0" borderId="1" xfId="0" applyBorder="1" applyAlignment="1">
      <alignment horizontal="left"/>
    </xf>
    <xf numFmtId="0" fontId="5" fillId="4" borderId="0" xfId="0" applyFont="1" applyFill="1" applyAlignment="1">
      <alignment wrapText="1"/>
    </xf>
    <xf numFmtId="0" fontId="0" fillId="0" borderId="0" xfId="0"/>
    <xf numFmtId="0" fontId="2" fillId="3" borderId="0" xfId="0" applyFont="1" applyFill="1" applyAlignment="1">
      <alignment wrapText="1"/>
    </xf>
    <xf numFmtId="0" fontId="3" fillId="0" borderId="0" xfId="0" applyFont="1"/>
    <xf numFmtId="0" fontId="1" fillId="2" borderId="0" xfId="0" applyFont="1" applyFill="1" applyAlignment="1">
      <alignment horizontal="center" vertical="center"/>
    </xf>
    <xf numFmtId="0" fontId="0" fillId="0" borderId="1" xfId="0" quotePrefix="1" applyBorder="1" applyAlignment="1">
      <alignment horizontal="left"/>
    </xf>
    <xf numFmtId="0" fontId="8" fillId="0" borderId="1" xfId="0" applyFont="1" applyBorder="1" applyAlignment="1">
      <alignment horizontal="left"/>
    </xf>
    <xf numFmtId="0" fontId="8" fillId="0" borderId="0" xfId="0" applyFont="1"/>
    <xf numFmtId="0" fontId="9" fillId="0" borderId="1" xfId="0" applyFont="1" applyBorder="1" applyAlignment="1">
      <alignment horizontal="left"/>
    </xf>
    <xf numFmtId="0" fontId="9" fillId="0" borderId="0" xfId="0" applyFont="1"/>
    <xf numFmtId="165" fontId="0" fillId="0" borderId="1" xfId="0" applyNumberFormat="1" applyBorder="1" applyAlignment="1">
      <alignment horizontal="right"/>
    </xf>
    <xf numFmtId="0" fontId="8" fillId="5" borderId="1" xfId="0" applyFont="1" applyFill="1" applyBorder="1" applyAlignment="1">
      <alignment horizontal="left"/>
    </xf>
    <xf numFmtId="167" fontId="8" fillId="5" borderId="1" xfId="0" applyNumberFormat="1" applyFont="1" applyFill="1" applyBorder="1" applyAlignment="1">
      <alignment horizontal="right"/>
    </xf>
    <xf numFmtId="0" fontId="0" fillId="0" borderId="0" xfId="0" applyBorder="1" applyAlignment="1">
      <alignment horizontal="left"/>
    </xf>
    <xf numFmtId="0" fontId="0" fillId="0" borderId="0" xfId="0" applyBorder="1" applyAlignment="1">
      <alignment horizontal="right"/>
    </xf>
    <xf numFmtId="9" fontId="0" fillId="0" borderId="0" xfId="1" applyFont="1" applyBorder="1" applyAlignment="1">
      <alignment horizontal="right"/>
    </xf>
    <xf numFmtId="0" fontId="11" fillId="0" borderId="0" xfId="0" applyFont="1"/>
    <xf numFmtId="0" fontId="4" fillId="6" borderId="2" xfId="0" applyFont="1" applyFill="1" applyBorder="1" applyAlignment="1">
      <alignment horizontal="center"/>
    </xf>
    <xf numFmtId="171" fontId="0" fillId="7" borderId="2" xfId="0" applyNumberFormat="1" applyFill="1" applyBorder="1" applyAlignment="1">
      <alignment horizontal="center"/>
    </xf>
    <xf numFmtId="171" fontId="0" fillId="8" borderId="2" xfId="0" applyNumberFormat="1" applyFill="1" applyBorder="1" applyAlignment="1">
      <alignment horizontal="center"/>
    </xf>
    <xf numFmtId="0" fontId="12" fillId="9" borderId="2" xfId="0" applyFont="1" applyFill="1" applyBorder="1" applyAlignment="1">
      <alignment horizontal="center"/>
    </xf>
    <xf numFmtId="171" fontId="12" fillId="9" borderId="2" xfId="0" applyNumberFormat="1" applyFont="1" applyFill="1" applyBorder="1" applyAlignment="1">
      <alignment horizontal="center"/>
    </xf>
    <xf numFmtId="0" fontId="0" fillId="8" borderId="2" xfId="0" applyFill="1" applyBorder="1" applyAlignment="1">
      <alignment horizontal="left"/>
    </xf>
    <xf numFmtId="0" fontId="0" fillId="7" borderId="2" xfId="0" applyFill="1" applyBorder="1" applyAlignment="1">
      <alignment horizontal="left"/>
    </xf>
    <xf numFmtId="9" fontId="0" fillId="0" borderId="1" xfId="1" applyFont="1" applyBorder="1" applyAlignment="1">
      <alignment horizontal="center"/>
    </xf>
    <xf numFmtId="0" fontId="0" fillId="0" borderId="0" xfId="0" applyAlignment="1">
      <alignment horizontal="center"/>
    </xf>
    <xf numFmtId="0" fontId="12" fillId="10" borderId="1" xfId="0" applyFont="1" applyFill="1" applyBorder="1" applyAlignment="1">
      <alignment horizontal="center"/>
    </xf>
    <xf numFmtId="9" fontId="12" fillId="10" borderId="1" xfId="1" applyFont="1" applyFill="1" applyBorder="1" applyAlignment="1">
      <alignment horizontal="center"/>
    </xf>
    <xf numFmtId="9" fontId="0" fillId="8" borderId="2" xfId="1" applyFont="1" applyFill="1" applyBorder="1" applyAlignment="1">
      <alignment horizontal="center"/>
    </xf>
    <xf numFmtId="9" fontId="12" fillId="9" borderId="2" xfId="1" applyFont="1" applyFill="1" applyBorder="1" applyAlignment="1">
      <alignment horizontal="center"/>
    </xf>
    <xf numFmtId="174" fontId="0" fillId="0" borderId="1" xfId="0" applyNumberFormat="1" applyBorder="1" applyAlignment="1">
      <alignment horizontal="center"/>
    </xf>
    <xf numFmtId="174" fontId="12" fillId="10" borderId="1" xfId="0" applyNumberFormat="1" applyFont="1" applyFill="1" applyBorder="1" applyAlignment="1">
      <alignment horizontal="center"/>
    </xf>
    <xf numFmtId="0" fontId="8" fillId="0" borderId="1" xfId="0" applyFont="1" applyBorder="1" applyAlignment="1">
      <alignment horizontal="left" wrapText="1"/>
    </xf>
    <xf numFmtId="0" fontId="4" fillId="6" borderId="2" xfId="0" applyFont="1" applyFill="1" applyBorder="1"/>
    <xf numFmtId="167" fontId="0" fillId="0" borderId="1" xfId="0" applyNumberFormat="1" applyBorder="1" applyAlignment="1">
      <alignment vertical="center"/>
    </xf>
    <xf numFmtId="167" fontId="8" fillId="5" borderId="1" xfId="0" applyNumberFormat="1" applyFont="1" applyFill="1" applyBorder="1" applyAlignment="1">
      <alignment vertical="center"/>
    </xf>
    <xf numFmtId="9" fontId="9" fillId="0" borderId="1" xfId="1" applyFont="1" applyBorder="1" applyAlignment="1">
      <alignment vertical="center"/>
    </xf>
    <xf numFmtId="167" fontId="8" fillId="0" borderId="1" xfId="0" applyNumberFormat="1" applyFont="1" applyBorder="1" applyAlignment="1">
      <alignment vertical="center"/>
    </xf>
    <xf numFmtId="0" fontId="4" fillId="6" borderId="2" xfId="0" applyFont="1" applyFill="1" applyBorder="1" applyAlignment="1">
      <alignment horizontal="center" vertical="center"/>
    </xf>
    <xf numFmtId="174" fontId="0" fillId="0" borderId="1" xfId="0" applyNumberFormat="1" applyBorder="1" applyAlignment="1">
      <alignment horizontal="center" vertical="center"/>
    </xf>
    <xf numFmtId="174" fontId="0" fillId="0" borderId="0" xfId="0" applyNumberFormat="1"/>
    <xf numFmtId="174" fontId="0" fillId="8" borderId="2" xfId="0" applyNumberFormat="1" applyFont="1" applyFill="1" applyBorder="1" applyAlignment="1">
      <alignment horizontal="center"/>
    </xf>
    <xf numFmtId="174" fontId="0" fillId="7" borderId="2" xfId="0" applyNumberFormat="1" applyFont="1" applyFill="1" applyBorder="1" applyAlignment="1">
      <alignment horizontal="center"/>
    </xf>
    <xf numFmtId="0" fontId="0" fillId="8" borderId="2" xfId="0" applyFill="1" applyBorder="1"/>
    <xf numFmtId="0" fontId="0" fillId="8" borderId="2" xfId="0" applyFill="1" applyBorder="1" applyAlignment="1">
      <alignment horizontal="center" vertical="center"/>
    </xf>
    <xf numFmtId="0" fontId="0" fillId="7" borderId="2" xfId="0" applyFill="1" applyBorder="1"/>
    <xf numFmtId="0" fontId="0" fillId="7" borderId="2" xfId="0" applyFill="1" applyBorder="1" applyAlignment="1">
      <alignment horizontal="center" vertical="center"/>
    </xf>
    <xf numFmtId="0" fontId="4" fillId="6" borderId="2" xfId="0" applyFont="1" applyFill="1" applyBorder="1" applyAlignment="1">
      <alignment horizontal="left"/>
    </xf>
    <xf numFmtId="0" fontId="0" fillId="8" borderId="2" xfId="0" applyFont="1" applyFill="1" applyBorder="1" applyAlignment="1">
      <alignment horizontal="left"/>
    </xf>
    <xf numFmtId="0" fontId="0" fillId="7" borderId="2" xfId="0" applyFont="1" applyFill="1" applyBorder="1" applyAlignment="1">
      <alignment horizontal="left"/>
    </xf>
    <xf numFmtId="2" fontId="0" fillId="8" borderId="2" xfId="0" applyNumberFormat="1" applyFill="1" applyBorder="1" applyAlignment="1">
      <alignment horizontal="center" vertical="center"/>
    </xf>
    <xf numFmtId="2" fontId="0" fillId="7" borderId="2" xfId="0" applyNumberFormat="1" applyFill="1" applyBorder="1" applyAlignment="1">
      <alignment horizontal="center" vertical="center"/>
    </xf>
  </cellXfs>
  <cellStyles count="2">
    <cellStyle name="Normal" xfId="0" builtinId="0"/>
    <cellStyle name="Pourcentag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9"/>
  <sheetViews>
    <sheetView tabSelected="1" zoomScale="107" workbookViewId="0">
      <selection activeCell="F79" sqref="F79"/>
    </sheetView>
  </sheetViews>
  <sheetFormatPr baseColWidth="10" defaultColWidth="8.83203125" defaultRowHeight="15" x14ac:dyDescent="0.2"/>
  <cols>
    <col min="1" max="1" width="143.5" bestFit="1" customWidth="1"/>
    <col min="2" max="2" width="31.1640625" customWidth="1"/>
    <col min="3" max="5" width="15" customWidth="1"/>
    <col min="6" max="6" width="27.33203125" customWidth="1"/>
    <col min="7" max="7" width="20" customWidth="1"/>
    <col min="8" max="8" width="21.1640625" customWidth="1"/>
    <col min="9" max="19" width="15" customWidth="1"/>
  </cols>
  <sheetData>
    <row r="1" spans="1:14" ht="24" x14ac:dyDescent="0.2">
      <c r="A1" s="7" t="s">
        <v>0</v>
      </c>
      <c r="B1" s="4"/>
      <c r="C1" s="4"/>
      <c r="D1" s="4"/>
      <c r="E1" s="4"/>
      <c r="F1" s="4"/>
      <c r="G1" s="4"/>
      <c r="H1" s="4"/>
      <c r="I1" s="4"/>
      <c r="J1" s="4"/>
      <c r="K1" s="4"/>
      <c r="L1" s="4"/>
      <c r="M1" s="4"/>
      <c r="N1" s="4"/>
    </row>
    <row r="3" spans="1:14" x14ac:dyDescent="0.2">
      <c r="A3" s="5" t="s">
        <v>1</v>
      </c>
      <c r="B3" s="4"/>
      <c r="C3" s="4"/>
      <c r="D3" s="4"/>
      <c r="E3" s="4"/>
      <c r="F3" s="4"/>
      <c r="G3" s="4"/>
      <c r="H3" s="4"/>
      <c r="I3" s="4"/>
      <c r="J3" s="4"/>
      <c r="K3" s="4"/>
      <c r="L3" s="4"/>
      <c r="M3" s="4"/>
      <c r="N3" s="4"/>
    </row>
    <row r="4" spans="1:14" x14ac:dyDescent="0.2">
      <c r="A4" s="6" t="s">
        <v>2</v>
      </c>
      <c r="B4" s="4"/>
      <c r="C4" s="4"/>
      <c r="D4" s="4"/>
      <c r="E4" s="4"/>
      <c r="F4" s="4"/>
      <c r="G4" s="4"/>
      <c r="H4" s="4"/>
      <c r="I4" s="4"/>
      <c r="J4" s="4"/>
      <c r="K4" s="4"/>
      <c r="L4" s="4"/>
      <c r="M4" s="4"/>
      <c r="N4" s="4"/>
    </row>
    <row r="5" spans="1:14" x14ac:dyDescent="0.2">
      <c r="A5" s="1" t="s">
        <v>3</v>
      </c>
      <c r="B5" s="20" t="s">
        <v>61</v>
      </c>
      <c r="C5" s="20" t="s">
        <v>62</v>
      </c>
      <c r="D5" s="20" t="s">
        <v>63</v>
      </c>
      <c r="E5" s="20" t="s">
        <v>64</v>
      </c>
      <c r="F5" s="20" t="s">
        <v>65</v>
      </c>
      <c r="G5" s="20" t="s">
        <v>66</v>
      </c>
      <c r="H5" s="20" t="s">
        <v>67</v>
      </c>
      <c r="I5" s="20" t="s">
        <v>68</v>
      </c>
    </row>
    <row r="6" spans="1:14" x14ac:dyDescent="0.2">
      <c r="A6" s="2" t="s">
        <v>4</v>
      </c>
      <c r="B6" s="33">
        <v>30873</v>
      </c>
      <c r="C6" s="33">
        <v>43421</v>
      </c>
      <c r="D6" s="33">
        <v>18</v>
      </c>
      <c r="E6" s="33">
        <v>0</v>
      </c>
      <c r="F6" s="33">
        <v>8213</v>
      </c>
      <c r="G6" s="33">
        <v>51652</v>
      </c>
      <c r="H6" s="33">
        <f t="shared" ref="H6:H14" si="0">B6-G6</f>
        <v>-20779</v>
      </c>
      <c r="I6" s="27">
        <f t="shared" ref="I6:I14" si="1">G6/B6</f>
        <v>1.6730476468111295</v>
      </c>
    </row>
    <row r="7" spans="1:14" x14ac:dyDescent="0.2">
      <c r="A7" s="2">
        <v>2010</v>
      </c>
      <c r="B7" s="33">
        <v>3674</v>
      </c>
      <c r="C7" s="33">
        <v>2442</v>
      </c>
      <c r="D7" s="33">
        <v>8</v>
      </c>
      <c r="E7" s="33">
        <v>0</v>
      </c>
      <c r="F7" s="33">
        <v>1578</v>
      </c>
      <c r="G7" s="33">
        <v>4028</v>
      </c>
      <c r="H7" s="33">
        <f t="shared" si="0"/>
        <v>-354</v>
      </c>
      <c r="I7" s="27">
        <f t="shared" si="1"/>
        <v>1.0963527490473599</v>
      </c>
    </row>
    <row r="8" spans="1:14" x14ac:dyDescent="0.2">
      <c r="A8" s="2">
        <v>2011</v>
      </c>
      <c r="B8" s="33">
        <v>3625</v>
      </c>
      <c r="C8" s="33">
        <v>3058</v>
      </c>
      <c r="D8" s="33">
        <v>4</v>
      </c>
      <c r="E8" s="33">
        <v>0</v>
      </c>
      <c r="F8" s="33">
        <v>1983</v>
      </c>
      <c r="G8" s="33">
        <v>5045</v>
      </c>
      <c r="H8" s="33">
        <f t="shared" si="0"/>
        <v>-1420</v>
      </c>
      <c r="I8" s="27">
        <f t="shared" si="1"/>
        <v>1.3917241379310346</v>
      </c>
    </row>
    <row r="9" spans="1:14" x14ac:dyDescent="0.2">
      <c r="A9" s="2">
        <v>2012</v>
      </c>
      <c r="B9" s="33">
        <v>3652</v>
      </c>
      <c r="C9" s="33">
        <v>2773</v>
      </c>
      <c r="D9" s="33">
        <v>35</v>
      </c>
      <c r="E9" s="33">
        <v>0</v>
      </c>
      <c r="F9" s="33">
        <v>1773</v>
      </c>
      <c r="G9" s="33">
        <v>4581</v>
      </c>
      <c r="H9" s="33">
        <f t="shared" si="0"/>
        <v>-929</v>
      </c>
      <c r="I9" s="27">
        <f t="shared" si="1"/>
        <v>1.2543811610076669</v>
      </c>
    </row>
    <row r="10" spans="1:14" x14ac:dyDescent="0.2">
      <c r="A10" s="2">
        <v>2013</v>
      </c>
      <c r="B10" s="33">
        <v>3853</v>
      </c>
      <c r="C10" s="33">
        <v>2644</v>
      </c>
      <c r="D10" s="33">
        <v>71</v>
      </c>
      <c r="E10" s="33">
        <v>0</v>
      </c>
      <c r="F10" s="33">
        <v>3851</v>
      </c>
      <c r="G10" s="33">
        <v>6566</v>
      </c>
      <c r="H10" s="33">
        <f t="shared" si="0"/>
        <v>-2713</v>
      </c>
      <c r="I10" s="27">
        <f t="shared" si="1"/>
        <v>1.7041266545548923</v>
      </c>
    </row>
    <row r="11" spans="1:14" x14ac:dyDescent="0.2">
      <c r="A11" s="2">
        <v>2014</v>
      </c>
      <c r="B11" s="33">
        <v>4109</v>
      </c>
      <c r="C11" s="33">
        <v>1585</v>
      </c>
      <c r="D11" s="33">
        <v>155</v>
      </c>
      <c r="E11" s="33">
        <v>0</v>
      </c>
      <c r="F11" s="33">
        <v>4524</v>
      </c>
      <c r="G11" s="33">
        <v>6264</v>
      </c>
      <c r="H11" s="33">
        <f t="shared" si="0"/>
        <v>-2155</v>
      </c>
      <c r="I11" s="27">
        <f t="shared" si="1"/>
        <v>1.5244585057191531</v>
      </c>
    </row>
    <row r="12" spans="1:14" x14ac:dyDescent="0.2">
      <c r="A12" s="2">
        <v>2015</v>
      </c>
      <c r="B12" s="33">
        <v>5097</v>
      </c>
      <c r="C12" s="33">
        <v>474</v>
      </c>
      <c r="D12" s="33">
        <v>280</v>
      </c>
      <c r="E12" s="33">
        <v>0</v>
      </c>
      <c r="F12" s="33">
        <v>5234</v>
      </c>
      <c r="G12" s="33">
        <v>5988</v>
      </c>
      <c r="H12" s="33">
        <f t="shared" si="0"/>
        <v>-891</v>
      </c>
      <c r="I12" s="27">
        <f t="shared" si="1"/>
        <v>1.1748087110064744</v>
      </c>
    </row>
    <row r="13" spans="1:14" x14ac:dyDescent="0.2">
      <c r="A13" s="2" t="s">
        <v>5</v>
      </c>
      <c r="B13" s="33">
        <v>24009</v>
      </c>
      <c r="C13" s="33">
        <v>12976</v>
      </c>
      <c r="D13" s="33">
        <v>553</v>
      </c>
      <c r="E13" s="33">
        <v>0</v>
      </c>
      <c r="F13" s="33">
        <v>18943</v>
      </c>
      <c r="G13" s="33">
        <v>32472</v>
      </c>
      <c r="H13" s="33">
        <f t="shared" si="0"/>
        <v>-8463</v>
      </c>
      <c r="I13" s="27">
        <f t="shared" si="1"/>
        <v>1.3524928151943021</v>
      </c>
    </row>
    <row r="14" spans="1:14" x14ac:dyDescent="0.2">
      <c r="A14" s="29" t="s">
        <v>6</v>
      </c>
      <c r="B14" s="34">
        <v>54882</v>
      </c>
      <c r="C14" s="34">
        <v>56397</v>
      </c>
      <c r="D14" s="34">
        <v>570</v>
      </c>
      <c r="E14" s="34">
        <v>960</v>
      </c>
      <c r="F14" s="34">
        <v>27156</v>
      </c>
      <c r="G14" s="34">
        <v>85083</v>
      </c>
      <c r="H14" s="34">
        <f t="shared" si="0"/>
        <v>-30201</v>
      </c>
      <c r="I14" s="30">
        <f t="shared" si="1"/>
        <v>1.5502897124740351</v>
      </c>
    </row>
    <row r="16" spans="1:14" x14ac:dyDescent="0.2">
      <c r="A16" s="6" t="s">
        <v>7</v>
      </c>
      <c r="B16" s="4"/>
      <c r="C16" s="4"/>
      <c r="D16" s="4"/>
      <c r="E16" s="4"/>
      <c r="F16" s="4"/>
      <c r="G16" s="4"/>
      <c r="H16" s="4"/>
      <c r="I16" s="4"/>
      <c r="J16" s="4"/>
      <c r="K16" s="4"/>
      <c r="L16" s="4"/>
      <c r="M16" s="4"/>
      <c r="N16" s="4"/>
    </row>
    <row r="17" spans="1:9" x14ac:dyDescent="0.2">
      <c r="A17" s="1" t="s">
        <v>3</v>
      </c>
      <c r="B17" s="20" t="s">
        <v>61</v>
      </c>
      <c r="C17" s="20" t="s">
        <v>62</v>
      </c>
      <c r="D17" s="20" t="s">
        <v>63</v>
      </c>
      <c r="E17" s="20" t="s">
        <v>64</v>
      </c>
      <c r="F17" s="20" t="s">
        <v>65</v>
      </c>
      <c r="G17" s="20" t="s">
        <v>66</v>
      </c>
      <c r="H17" s="20" t="s">
        <v>67</v>
      </c>
      <c r="I17" s="20" t="s">
        <v>68</v>
      </c>
    </row>
    <row r="18" spans="1:9" x14ac:dyDescent="0.2">
      <c r="A18" s="2" t="s">
        <v>4</v>
      </c>
      <c r="B18" s="33">
        <v>15743</v>
      </c>
      <c r="C18" s="33">
        <v>10404</v>
      </c>
      <c r="D18" s="33">
        <v>0</v>
      </c>
      <c r="E18" s="33">
        <v>0</v>
      </c>
      <c r="F18" s="33">
        <v>0</v>
      </c>
      <c r="G18" s="33">
        <v>10404</v>
      </c>
      <c r="H18" s="33">
        <f t="shared" ref="H18:H26" si="2">B18-G18</f>
        <v>5339</v>
      </c>
      <c r="I18" s="27">
        <f t="shared" ref="I18:I26" si="3">G18/B18</f>
        <v>0.6608651464142794</v>
      </c>
    </row>
    <row r="19" spans="1:9" x14ac:dyDescent="0.2">
      <c r="A19" s="2">
        <v>2010</v>
      </c>
      <c r="B19" s="33">
        <v>1455</v>
      </c>
      <c r="C19" s="33">
        <v>630</v>
      </c>
      <c r="D19" s="33">
        <v>0</v>
      </c>
      <c r="E19" s="33">
        <v>0</v>
      </c>
      <c r="F19" s="33">
        <v>0</v>
      </c>
      <c r="G19" s="33">
        <v>630</v>
      </c>
      <c r="H19" s="33">
        <f t="shared" si="2"/>
        <v>825</v>
      </c>
      <c r="I19" s="27">
        <f t="shared" si="3"/>
        <v>0.4329896907216495</v>
      </c>
    </row>
    <row r="20" spans="1:9" x14ac:dyDescent="0.2">
      <c r="A20" s="2">
        <v>2011</v>
      </c>
      <c r="B20" s="33">
        <v>1396</v>
      </c>
      <c r="C20" s="33">
        <v>629</v>
      </c>
      <c r="D20" s="33">
        <v>0</v>
      </c>
      <c r="E20" s="33">
        <v>0</v>
      </c>
      <c r="F20" s="33">
        <v>0</v>
      </c>
      <c r="G20" s="33">
        <v>629</v>
      </c>
      <c r="H20" s="33">
        <f t="shared" si="2"/>
        <v>767</v>
      </c>
      <c r="I20" s="27">
        <f t="shared" si="3"/>
        <v>0.45057306590257878</v>
      </c>
    </row>
    <row r="21" spans="1:9" x14ac:dyDescent="0.2">
      <c r="A21" s="2">
        <v>2012</v>
      </c>
      <c r="B21" s="33">
        <v>1426</v>
      </c>
      <c r="C21" s="33">
        <v>881</v>
      </c>
      <c r="D21" s="33">
        <v>0</v>
      </c>
      <c r="E21" s="33">
        <v>0</v>
      </c>
      <c r="F21" s="33">
        <v>0</v>
      </c>
      <c r="G21" s="33">
        <v>881</v>
      </c>
      <c r="H21" s="33">
        <f t="shared" si="2"/>
        <v>545</v>
      </c>
      <c r="I21" s="27">
        <f t="shared" si="3"/>
        <v>0.61781206171107994</v>
      </c>
    </row>
    <row r="22" spans="1:9" x14ac:dyDescent="0.2">
      <c r="A22" s="2">
        <v>2013</v>
      </c>
      <c r="B22" s="33">
        <v>1611</v>
      </c>
      <c r="C22" s="33">
        <v>1079</v>
      </c>
      <c r="D22" s="33">
        <v>0</v>
      </c>
      <c r="E22" s="33">
        <v>0</v>
      </c>
      <c r="F22" s="33">
        <v>0</v>
      </c>
      <c r="G22" s="33">
        <v>1079</v>
      </c>
      <c r="H22" s="33">
        <f t="shared" si="2"/>
        <v>532</v>
      </c>
      <c r="I22" s="27">
        <f t="shared" si="3"/>
        <v>0.6697703289882061</v>
      </c>
    </row>
    <row r="23" spans="1:9" x14ac:dyDescent="0.2">
      <c r="A23" s="2">
        <v>2014</v>
      </c>
      <c r="B23" s="33">
        <v>1603</v>
      </c>
      <c r="C23" s="33">
        <v>728</v>
      </c>
      <c r="D23" s="33">
        <v>58</v>
      </c>
      <c r="E23" s="33">
        <v>0</v>
      </c>
      <c r="F23" s="33">
        <v>0</v>
      </c>
      <c r="G23" s="33">
        <v>786</v>
      </c>
      <c r="H23" s="33">
        <f t="shared" si="2"/>
        <v>817</v>
      </c>
      <c r="I23" s="27">
        <f t="shared" si="3"/>
        <v>0.49033063006862132</v>
      </c>
    </row>
    <row r="24" spans="1:9" x14ac:dyDescent="0.2">
      <c r="A24" s="2">
        <v>2015</v>
      </c>
      <c r="B24" s="33">
        <v>1571</v>
      </c>
      <c r="C24" s="33">
        <v>238</v>
      </c>
      <c r="D24" s="33">
        <v>224</v>
      </c>
      <c r="E24" s="33">
        <v>296</v>
      </c>
      <c r="F24" s="33">
        <v>0</v>
      </c>
      <c r="G24" s="33">
        <v>758</v>
      </c>
      <c r="H24" s="33">
        <f t="shared" si="2"/>
        <v>813</v>
      </c>
      <c r="I24" s="27">
        <f t="shared" si="3"/>
        <v>0.48249522597071931</v>
      </c>
    </row>
    <row r="25" spans="1:9" x14ac:dyDescent="0.2">
      <c r="A25" s="2" t="s">
        <v>5</v>
      </c>
      <c r="B25" s="33">
        <v>9063</v>
      </c>
      <c r="C25" s="33">
        <v>4186</v>
      </c>
      <c r="D25" s="33">
        <v>282</v>
      </c>
      <c r="E25" s="33">
        <v>296</v>
      </c>
      <c r="F25" s="33">
        <v>0</v>
      </c>
      <c r="G25" s="33">
        <v>4764</v>
      </c>
      <c r="H25" s="33">
        <f t="shared" si="2"/>
        <v>4299</v>
      </c>
      <c r="I25" s="27">
        <f t="shared" si="3"/>
        <v>0.52565375703409467</v>
      </c>
    </row>
    <row r="26" spans="1:9" s="28" customFormat="1" x14ac:dyDescent="0.2">
      <c r="A26" s="29" t="s">
        <v>6</v>
      </c>
      <c r="B26" s="29">
        <v>24806</v>
      </c>
      <c r="C26" s="29">
        <v>14590</v>
      </c>
      <c r="D26" s="29">
        <v>282</v>
      </c>
      <c r="E26" s="29">
        <v>296</v>
      </c>
      <c r="F26" s="29">
        <v>0</v>
      </c>
      <c r="G26" s="29">
        <v>15168</v>
      </c>
      <c r="H26" s="29">
        <f t="shared" si="2"/>
        <v>9638</v>
      </c>
      <c r="I26" s="30">
        <f t="shared" si="3"/>
        <v>0.61146496815286622</v>
      </c>
    </row>
    <row r="27" spans="1:9" x14ac:dyDescent="0.2">
      <c r="A27" s="16"/>
      <c r="B27" s="17"/>
      <c r="C27" s="17"/>
      <c r="D27" s="17"/>
      <c r="E27" s="17"/>
      <c r="F27" s="17"/>
      <c r="G27" s="17"/>
      <c r="H27" s="17"/>
      <c r="I27" s="18"/>
    </row>
    <row r="28" spans="1:9" ht="19" x14ac:dyDescent="0.25">
      <c r="A28" s="19" t="s">
        <v>60</v>
      </c>
    </row>
    <row r="29" spans="1:9" x14ac:dyDescent="0.2">
      <c r="A29" s="20" t="s">
        <v>3</v>
      </c>
      <c r="B29" s="20" t="s">
        <v>61</v>
      </c>
      <c r="C29" s="20" t="s">
        <v>62</v>
      </c>
      <c r="D29" s="20" t="s">
        <v>63</v>
      </c>
      <c r="E29" s="20" t="s">
        <v>64</v>
      </c>
      <c r="F29" s="20" t="s">
        <v>65</v>
      </c>
      <c r="G29" s="20" t="s">
        <v>66</v>
      </c>
      <c r="H29" s="20" t="s">
        <v>67</v>
      </c>
      <c r="I29" s="20" t="s">
        <v>68</v>
      </c>
    </row>
    <row r="30" spans="1:9" x14ac:dyDescent="0.2">
      <c r="A30" s="25" t="s">
        <v>4</v>
      </c>
      <c r="B30" s="22">
        <v>46616</v>
      </c>
      <c r="C30" s="22">
        <v>53825</v>
      </c>
      <c r="D30" s="22">
        <v>18</v>
      </c>
      <c r="E30" s="22">
        <v>0</v>
      </c>
      <c r="F30" s="22">
        <v>8213</v>
      </c>
      <c r="G30" s="22">
        <f>SUM(C30:F30)</f>
        <v>62056</v>
      </c>
      <c r="H30" s="22">
        <f>B30-G30</f>
        <v>-15440</v>
      </c>
      <c r="I30" s="31">
        <f>G30/B30</f>
        <v>1.3312167496138665</v>
      </c>
    </row>
    <row r="31" spans="1:9" x14ac:dyDescent="0.2">
      <c r="A31" s="26">
        <v>2010</v>
      </c>
      <c r="B31" s="21">
        <v>5129</v>
      </c>
      <c r="C31" s="21">
        <v>3072</v>
      </c>
      <c r="D31" s="21">
        <v>8</v>
      </c>
      <c r="E31" s="21">
        <v>0</v>
      </c>
      <c r="F31" s="21">
        <v>1578</v>
      </c>
      <c r="G31" s="22">
        <f>SUM(C31:F31)</f>
        <v>4658</v>
      </c>
      <c r="H31" s="22">
        <f t="shared" ref="H31:H38" si="4">B31-G31</f>
        <v>471</v>
      </c>
      <c r="I31" s="31">
        <f t="shared" ref="I31:I38" si="5">G31/B31</f>
        <v>0.90816923376876579</v>
      </c>
    </row>
    <row r="32" spans="1:9" x14ac:dyDescent="0.2">
      <c r="A32" s="25">
        <v>2011</v>
      </c>
      <c r="B32" s="22">
        <v>5021</v>
      </c>
      <c r="C32" s="22">
        <v>3688</v>
      </c>
      <c r="D32" s="22">
        <v>4</v>
      </c>
      <c r="E32" s="22">
        <v>0</v>
      </c>
      <c r="F32" s="22">
        <v>1983</v>
      </c>
      <c r="G32" s="22">
        <f t="shared" ref="G32:G38" si="6">SUM(C32:F32)</f>
        <v>5675</v>
      </c>
      <c r="H32" s="22">
        <f t="shared" si="4"/>
        <v>-654</v>
      </c>
      <c r="I32" s="31">
        <f t="shared" si="5"/>
        <v>1.1302529376618204</v>
      </c>
    </row>
    <row r="33" spans="1:14" x14ac:dyDescent="0.2">
      <c r="A33" s="26">
        <v>2012</v>
      </c>
      <c r="B33" s="21">
        <v>5078</v>
      </c>
      <c r="C33" s="21">
        <v>3654</v>
      </c>
      <c r="D33" s="21">
        <v>35</v>
      </c>
      <c r="E33" s="21">
        <v>0</v>
      </c>
      <c r="F33" s="21">
        <v>1773</v>
      </c>
      <c r="G33" s="22">
        <f t="shared" si="6"/>
        <v>5462</v>
      </c>
      <c r="H33" s="22">
        <f t="shared" si="4"/>
        <v>-384</v>
      </c>
      <c r="I33" s="31">
        <f t="shared" si="5"/>
        <v>1.075620322961796</v>
      </c>
    </row>
    <row r="34" spans="1:14" x14ac:dyDescent="0.2">
      <c r="A34" s="25">
        <v>2013</v>
      </c>
      <c r="B34" s="22">
        <v>5464</v>
      </c>
      <c r="C34" s="22">
        <v>3723</v>
      </c>
      <c r="D34" s="22">
        <v>71</v>
      </c>
      <c r="E34" s="22">
        <v>0</v>
      </c>
      <c r="F34" s="22">
        <v>3851</v>
      </c>
      <c r="G34" s="22">
        <f t="shared" si="6"/>
        <v>7645</v>
      </c>
      <c r="H34" s="22">
        <f t="shared" si="4"/>
        <v>-2181</v>
      </c>
      <c r="I34" s="31">
        <f t="shared" si="5"/>
        <v>1.3991581259150805</v>
      </c>
    </row>
    <row r="35" spans="1:14" x14ac:dyDescent="0.2">
      <c r="A35" s="26">
        <v>2014</v>
      </c>
      <c r="B35" s="21">
        <v>5712</v>
      </c>
      <c r="C35" s="21">
        <v>2313</v>
      </c>
      <c r="D35" s="21">
        <v>213</v>
      </c>
      <c r="E35" s="21">
        <v>0</v>
      </c>
      <c r="F35" s="21">
        <v>4524</v>
      </c>
      <c r="G35" s="22">
        <f t="shared" si="6"/>
        <v>7050</v>
      </c>
      <c r="H35" s="22">
        <f t="shared" si="4"/>
        <v>-1338</v>
      </c>
      <c r="I35" s="31">
        <f t="shared" si="5"/>
        <v>1.2342436974789917</v>
      </c>
    </row>
    <row r="36" spans="1:14" x14ac:dyDescent="0.2">
      <c r="A36" s="25">
        <v>2015</v>
      </c>
      <c r="B36" s="22">
        <v>6668</v>
      </c>
      <c r="C36" s="22">
        <v>712</v>
      </c>
      <c r="D36" s="22">
        <v>504</v>
      </c>
      <c r="E36" s="22">
        <v>1256</v>
      </c>
      <c r="F36" s="22">
        <v>5234</v>
      </c>
      <c r="G36" s="22">
        <f t="shared" si="6"/>
        <v>7706</v>
      </c>
      <c r="H36" s="22">
        <f t="shared" si="4"/>
        <v>-1038</v>
      </c>
      <c r="I36" s="31">
        <f t="shared" si="5"/>
        <v>1.1556688662267547</v>
      </c>
    </row>
    <row r="37" spans="1:14" x14ac:dyDescent="0.2">
      <c r="A37" s="26" t="s">
        <v>5</v>
      </c>
      <c r="B37" s="21">
        <v>33072</v>
      </c>
      <c r="C37" s="21">
        <v>17162</v>
      </c>
      <c r="D37" s="21">
        <v>835</v>
      </c>
      <c r="E37" s="21">
        <v>1256</v>
      </c>
      <c r="F37" s="21">
        <v>18943</v>
      </c>
      <c r="G37" s="22">
        <f t="shared" si="6"/>
        <v>38196</v>
      </c>
      <c r="H37" s="22">
        <f t="shared" si="4"/>
        <v>-5124</v>
      </c>
      <c r="I37" s="31">
        <f t="shared" si="5"/>
        <v>1.1549346879535558</v>
      </c>
    </row>
    <row r="38" spans="1:14" x14ac:dyDescent="0.2">
      <c r="A38" s="23" t="s">
        <v>6</v>
      </c>
      <c r="B38" s="24">
        <v>79688</v>
      </c>
      <c r="C38" s="24">
        <v>70987</v>
      </c>
      <c r="D38" s="24">
        <v>853</v>
      </c>
      <c r="E38" s="24">
        <v>1256</v>
      </c>
      <c r="F38" s="24">
        <v>46099</v>
      </c>
      <c r="G38" s="24">
        <f t="shared" si="6"/>
        <v>119195</v>
      </c>
      <c r="H38" s="24">
        <f t="shared" si="4"/>
        <v>-39507</v>
      </c>
      <c r="I38" s="32">
        <f t="shared" si="5"/>
        <v>1.4957710069270154</v>
      </c>
    </row>
    <row r="40" spans="1:14" ht="225" customHeight="1" x14ac:dyDescent="0.2">
      <c r="A40" s="3" t="s">
        <v>59</v>
      </c>
      <c r="B40" s="4"/>
      <c r="C40" s="4"/>
      <c r="D40" s="4"/>
      <c r="E40" s="4"/>
      <c r="F40" s="4"/>
      <c r="G40" s="4"/>
      <c r="H40" s="4"/>
      <c r="I40" s="4"/>
      <c r="J40" s="4"/>
      <c r="K40" s="4"/>
      <c r="L40" s="4"/>
      <c r="M40" s="4"/>
      <c r="N40" s="4"/>
    </row>
    <row r="42" spans="1:14" x14ac:dyDescent="0.2">
      <c r="A42" s="5" t="s">
        <v>8</v>
      </c>
      <c r="B42" s="4"/>
      <c r="C42" s="4"/>
      <c r="D42" s="4"/>
      <c r="E42" s="4"/>
      <c r="F42" s="4"/>
      <c r="G42" s="4"/>
      <c r="H42" s="4"/>
      <c r="I42" s="4"/>
      <c r="J42" s="4"/>
      <c r="K42" s="4"/>
      <c r="L42" s="4"/>
      <c r="M42" s="4"/>
      <c r="N42" s="4"/>
    </row>
    <row r="43" spans="1:14" x14ac:dyDescent="0.2">
      <c r="A43" s="1" t="s">
        <v>9</v>
      </c>
      <c r="B43" s="1" t="s">
        <v>10</v>
      </c>
      <c r="C43" s="1" t="s">
        <v>11</v>
      </c>
      <c r="D43" s="1" t="s">
        <v>12</v>
      </c>
      <c r="E43" s="1" t="s">
        <v>13</v>
      </c>
    </row>
    <row r="44" spans="1:14" x14ac:dyDescent="0.2">
      <c r="A44" s="2" t="s">
        <v>14</v>
      </c>
      <c r="B44" s="37">
        <v>2820406</v>
      </c>
      <c r="C44" s="37">
        <v>445361</v>
      </c>
      <c r="D44" s="37">
        <v>2375045</v>
      </c>
      <c r="E44" s="37">
        <f t="shared" ref="E44:E66" si="7">B44-C44</f>
        <v>2375045</v>
      </c>
    </row>
    <row r="45" spans="1:14" x14ac:dyDescent="0.2">
      <c r="A45" s="2" t="s">
        <v>15</v>
      </c>
      <c r="B45" s="37">
        <v>705506</v>
      </c>
      <c r="C45" s="37"/>
      <c r="D45" s="37">
        <v>705506</v>
      </c>
      <c r="E45" s="37">
        <f t="shared" si="7"/>
        <v>705506</v>
      </c>
    </row>
    <row r="46" spans="1:14" x14ac:dyDescent="0.2">
      <c r="A46" s="2" t="s">
        <v>16</v>
      </c>
      <c r="B46" s="37">
        <v>789763</v>
      </c>
      <c r="C46" s="37"/>
      <c r="D46" s="37">
        <v>789763</v>
      </c>
      <c r="E46" s="37">
        <f t="shared" si="7"/>
        <v>789763</v>
      </c>
    </row>
    <row r="47" spans="1:14" x14ac:dyDescent="0.2">
      <c r="A47" s="8" t="s">
        <v>57</v>
      </c>
      <c r="B47" s="37">
        <v>2904663</v>
      </c>
      <c r="C47" s="37">
        <v>445361</v>
      </c>
      <c r="D47" s="37">
        <v>2459302</v>
      </c>
      <c r="E47" s="37">
        <f t="shared" si="7"/>
        <v>2459302</v>
      </c>
    </row>
    <row r="48" spans="1:14" x14ac:dyDescent="0.2">
      <c r="A48" s="2" t="s">
        <v>17</v>
      </c>
      <c r="B48" s="37">
        <v>1978037</v>
      </c>
      <c r="C48" s="37">
        <v>400819</v>
      </c>
      <c r="D48" s="37">
        <v>1577219</v>
      </c>
      <c r="E48" s="37">
        <f t="shared" si="7"/>
        <v>1577218</v>
      </c>
    </row>
    <row r="49" spans="1:5" x14ac:dyDescent="0.2">
      <c r="A49" s="2" t="s">
        <v>18</v>
      </c>
      <c r="B49" s="37">
        <v>1500236</v>
      </c>
      <c r="C49" s="37"/>
      <c r="D49" s="37"/>
      <c r="E49" s="37">
        <f t="shared" si="7"/>
        <v>1500236</v>
      </c>
    </row>
    <row r="50" spans="1:5" x14ac:dyDescent="0.2">
      <c r="A50" s="2" t="s">
        <v>19</v>
      </c>
      <c r="B50" s="37">
        <v>1428023</v>
      </c>
      <c r="C50" s="37"/>
      <c r="D50" s="37"/>
      <c r="E50" s="37">
        <f t="shared" si="7"/>
        <v>1428023</v>
      </c>
    </row>
    <row r="51" spans="1:5" x14ac:dyDescent="0.2">
      <c r="A51" s="8" t="s">
        <v>58</v>
      </c>
      <c r="B51" s="37">
        <v>2050250</v>
      </c>
      <c r="C51" s="37">
        <v>400819</v>
      </c>
      <c r="D51" s="37">
        <v>1649432</v>
      </c>
      <c r="E51" s="37">
        <f t="shared" si="7"/>
        <v>1649431</v>
      </c>
    </row>
    <row r="52" spans="1:5" s="10" customFormat="1" x14ac:dyDescent="0.2">
      <c r="A52" s="14" t="s">
        <v>20</v>
      </c>
      <c r="B52" s="38">
        <v>854413</v>
      </c>
      <c r="C52" s="38">
        <v>44542</v>
      </c>
      <c r="D52" s="38">
        <v>809871</v>
      </c>
      <c r="E52" s="38">
        <f t="shared" si="7"/>
        <v>809871</v>
      </c>
    </row>
    <row r="53" spans="1:5" s="12" customFormat="1" x14ac:dyDescent="0.2">
      <c r="A53" s="11" t="s">
        <v>21</v>
      </c>
      <c r="B53" s="39">
        <v>0.71</v>
      </c>
      <c r="C53" s="39"/>
      <c r="D53" s="39">
        <v>0.67</v>
      </c>
      <c r="E53" s="39">
        <f t="shared" si="7"/>
        <v>0.71</v>
      </c>
    </row>
    <row r="54" spans="1:5" x14ac:dyDescent="0.2">
      <c r="A54" s="2" t="s">
        <v>22</v>
      </c>
      <c r="B54" s="37">
        <v>435700</v>
      </c>
      <c r="C54" s="37"/>
      <c r="D54" s="37">
        <v>435700</v>
      </c>
      <c r="E54" s="37">
        <f t="shared" si="7"/>
        <v>435700</v>
      </c>
    </row>
    <row r="55" spans="1:5" x14ac:dyDescent="0.2">
      <c r="A55" s="2" t="s">
        <v>23</v>
      </c>
      <c r="B55" s="37">
        <v>580933</v>
      </c>
      <c r="C55" s="37"/>
      <c r="D55" s="37">
        <v>580933</v>
      </c>
      <c r="E55" s="37">
        <f t="shared" si="7"/>
        <v>580933</v>
      </c>
    </row>
    <row r="56" spans="1:5" x14ac:dyDescent="0.2">
      <c r="A56" s="2" t="s">
        <v>24</v>
      </c>
      <c r="B56" s="37"/>
      <c r="C56" s="37"/>
      <c r="D56" s="37">
        <v>66804</v>
      </c>
      <c r="E56" s="37">
        <f t="shared" si="7"/>
        <v>0</v>
      </c>
    </row>
    <row r="57" spans="1:5" s="10" customFormat="1" x14ac:dyDescent="0.2">
      <c r="A57" s="14" t="s">
        <v>25</v>
      </c>
      <c r="B57" s="38">
        <v>-145233</v>
      </c>
      <c r="C57" s="38"/>
      <c r="D57" s="38">
        <v>-78429</v>
      </c>
      <c r="E57" s="38">
        <f t="shared" si="7"/>
        <v>-145233</v>
      </c>
    </row>
    <row r="58" spans="1:5" x14ac:dyDescent="0.2">
      <c r="A58" s="2" t="s">
        <v>26</v>
      </c>
      <c r="B58" s="37">
        <v>422792</v>
      </c>
      <c r="C58" s="37"/>
      <c r="D58" s="37">
        <v>422792</v>
      </c>
      <c r="E58" s="37">
        <f t="shared" si="7"/>
        <v>422792</v>
      </c>
    </row>
    <row r="59" spans="1:5" x14ac:dyDescent="0.2">
      <c r="A59" s="2" t="s">
        <v>27</v>
      </c>
      <c r="B59" s="37">
        <v>140221</v>
      </c>
      <c r="C59" s="37"/>
      <c r="D59" s="37">
        <v>140221</v>
      </c>
      <c r="E59" s="37">
        <f t="shared" si="7"/>
        <v>140221</v>
      </c>
    </row>
    <row r="60" spans="1:5" x14ac:dyDescent="0.2">
      <c r="A60" s="2" t="s">
        <v>28</v>
      </c>
      <c r="B60" s="37">
        <v>0</v>
      </c>
      <c r="C60" s="37"/>
      <c r="D60" s="37">
        <v>0</v>
      </c>
      <c r="E60" s="37">
        <f t="shared" si="7"/>
        <v>0</v>
      </c>
    </row>
    <row r="61" spans="1:5" s="10" customFormat="1" x14ac:dyDescent="0.2">
      <c r="A61" s="9" t="s">
        <v>29</v>
      </c>
      <c r="B61" s="40">
        <v>282570</v>
      </c>
      <c r="C61" s="40"/>
      <c r="D61" s="40">
        <v>282570</v>
      </c>
      <c r="E61" s="40">
        <f t="shared" si="7"/>
        <v>282570</v>
      </c>
    </row>
    <row r="62" spans="1:5" x14ac:dyDescent="0.2">
      <c r="A62" s="2" t="s">
        <v>30</v>
      </c>
      <c r="B62" s="37"/>
      <c r="C62" s="37"/>
      <c r="D62" s="37"/>
      <c r="E62" s="37">
        <f t="shared" si="7"/>
        <v>0</v>
      </c>
    </row>
    <row r="63" spans="1:5" x14ac:dyDescent="0.2">
      <c r="A63" s="2" t="s">
        <v>31</v>
      </c>
      <c r="B63" s="37"/>
      <c r="C63" s="37"/>
      <c r="D63" s="37"/>
      <c r="E63" s="37">
        <f t="shared" si="7"/>
        <v>0</v>
      </c>
    </row>
    <row r="64" spans="1:5" s="10" customFormat="1" x14ac:dyDescent="0.2">
      <c r="A64" s="14" t="s">
        <v>32</v>
      </c>
      <c r="B64" s="15"/>
      <c r="C64" s="15"/>
      <c r="D64" s="15"/>
      <c r="E64" s="15">
        <f t="shared" si="7"/>
        <v>0</v>
      </c>
    </row>
    <row r="65" spans="1:14" s="10" customFormat="1" x14ac:dyDescent="0.2">
      <c r="A65" s="14" t="s">
        <v>33</v>
      </c>
      <c r="B65" s="15">
        <v>991750</v>
      </c>
      <c r="C65" s="15">
        <v>44542</v>
      </c>
      <c r="D65" s="15">
        <v>1014012</v>
      </c>
      <c r="E65" s="15">
        <f t="shared" si="7"/>
        <v>947208</v>
      </c>
    </row>
    <row r="66" spans="1:14" ht="39" customHeight="1" x14ac:dyDescent="0.2">
      <c r="A66" s="35" t="s">
        <v>34</v>
      </c>
      <c r="B66" s="13"/>
      <c r="C66" s="13"/>
      <c r="D66" s="13"/>
      <c r="E66" s="13">
        <f t="shared" si="7"/>
        <v>0</v>
      </c>
    </row>
    <row r="68" spans="1:14" ht="219" customHeight="1" x14ac:dyDescent="0.2">
      <c r="A68" s="3" t="s">
        <v>69</v>
      </c>
      <c r="B68" s="4"/>
      <c r="C68" s="4"/>
      <c r="D68" s="4"/>
      <c r="E68" s="4"/>
      <c r="F68" s="4"/>
      <c r="G68" s="4"/>
      <c r="H68" s="4"/>
      <c r="I68" s="4"/>
      <c r="J68" s="4"/>
      <c r="K68" s="4"/>
      <c r="L68" s="4"/>
      <c r="M68" s="4"/>
      <c r="N68" s="4"/>
    </row>
    <row r="70" spans="1:14" x14ac:dyDescent="0.2">
      <c r="A70" s="5" t="s">
        <v>35</v>
      </c>
      <c r="B70" s="4"/>
      <c r="C70" s="4"/>
      <c r="D70" s="4"/>
      <c r="E70" s="4"/>
      <c r="F70" s="4"/>
      <c r="G70" s="4"/>
      <c r="H70" s="4"/>
      <c r="I70" s="4"/>
      <c r="J70" s="4"/>
      <c r="K70" s="4"/>
      <c r="L70" s="4"/>
      <c r="M70" s="4"/>
      <c r="N70" s="4"/>
    </row>
    <row r="71" spans="1:14" x14ac:dyDescent="0.2">
      <c r="A71" s="1" t="s">
        <v>9</v>
      </c>
      <c r="B71" s="1" t="s">
        <v>36</v>
      </c>
      <c r="C71" s="1" t="s">
        <v>37</v>
      </c>
      <c r="D71" s="1" t="s">
        <v>38</v>
      </c>
      <c r="E71" s="1" t="s">
        <v>39</v>
      </c>
      <c r="F71" s="1" t="s">
        <v>40</v>
      </c>
      <c r="G71" s="1" t="s">
        <v>6</v>
      </c>
    </row>
    <row r="72" spans="1:14" x14ac:dyDescent="0.2">
      <c r="A72" s="2" t="s">
        <v>41</v>
      </c>
      <c r="B72" s="42">
        <v>500</v>
      </c>
      <c r="C72" s="42">
        <v>142</v>
      </c>
      <c r="D72" s="42">
        <v>350</v>
      </c>
      <c r="E72" s="42">
        <v>425</v>
      </c>
      <c r="F72" s="42">
        <v>1000</v>
      </c>
      <c r="G72" s="42">
        <v>2417</v>
      </c>
    </row>
    <row r="73" spans="1:14" x14ac:dyDescent="0.2">
      <c r="A73" s="2" t="s">
        <v>42</v>
      </c>
      <c r="B73" s="42">
        <v>512</v>
      </c>
      <c r="C73" s="42">
        <v>750</v>
      </c>
      <c r="D73" s="42">
        <v>900</v>
      </c>
      <c r="E73" s="42">
        <v>1275</v>
      </c>
      <c r="F73" s="42">
        <v>1500</v>
      </c>
      <c r="G73" s="42">
        <v>4937</v>
      </c>
    </row>
    <row r="74" spans="1:14" x14ac:dyDescent="0.2">
      <c r="A74" s="2" t="s">
        <v>43</v>
      </c>
      <c r="B74" s="42">
        <v>750</v>
      </c>
      <c r="C74" s="42">
        <v>770</v>
      </c>
      <c r="D74" s="42">
        <v>760</v>
      </c>
      <c r="E74" s="42">
        <v>1475</v>
      </c>
      <c r="F74" s="42">
        <v>1115</v>
      </c>
      <c r="G74" s="42">
        <v>5060</v>
      </c>
    </row>
    <row r="75" spans="1:14" x14ac:dyDescent="0.2">
      <c r="A75" s="2" t="s">
        <v>44</v>
      </c>
      <c r="B75" s="42">
        <f t="shared" ref="B75:G75" si="8">B73-B74</f>
        <v>-238</v>
      </c>
      <c r="C75" s="42">
        <f t="shared" si="8"/>
        <v>-20</v>
      </c>
      <c r="D75" s="42">
        <f t="shared" si="8"/>
        <v>140</v>
      </c>
      <c r="E75" s="42">
        <f t="shared" si="8"/>
        <v>-200</v>
      </c>
      <c r="F75" s="42">
        <f t="shared" si="8"/>
        <v>385</v>
      </c>
      <c r="G75" s="42">
        <f t="shared" si="8"/>
        <v>-123</v>
      </c>
    </row>
    <row r="76" spans="1:14" x14ac:dyDescent="0.2">
      <c r="A76" s="2" t="s">
        <v>45</v>
      </c>
      <c r="B76" s="42">
        <f>B73-B72-B74</f>
        <v>-738</v>
      </c>
      <c r="C76" s="42">
        <f t="shared" ref="C76:G76" si="9">C73-C72-C74</f>
        <v>-162</v>
      </c>
      <c r="D76" s="42">
        <f t="shared" si="9"/>
        <v>-210</v>
      </c>
      <c r="E76" s="42">
        <f t="shared" si="9"/>
        <v>-625</v>
      </c>
      <c r="F76" s="42">
        <f t="shared" si="9"/>
        <v>-615</v>
      </c>
      <c r="G76" s="42">
        <f t="shared" si="9"/>
        <v>-2540</v>
      </c>
    </row>
    <row r="77" spans="1:14" x14ac:dyDescent="0.2">
      <c r="B77" s="43"/>
      <c r="C77" s="43"/>
      <c r="D77" s="43"/>
      <c r="E77" s="43"/>
      <c r="F77" s="43"/>
      <c r="G77" s="43"/>
    </row>
    <row r="78" spans="1:14" x14ac:dyDescent="0.2">
      <c r="A78" s="3" t="s">
        <v>46</v>
      </c>
      <c r="B78" s="4"/>
      <c r="C78" s="4"/>
      <c r="D78" s="4"/>
      <c r="E78" s="4"/>
      <c r="F78" s="4"/>
      <c r="G78" s="4"/>
      <c r="H78" s="4"/>
      <c r="I78" s="4"/>
      <c r="J78" s="4"/>
      <c r="K78" s="4"/>
      <c r="L78" s="4"/>
      <c r="M78" s="4"/>
      <c r="N78" s="4"/>
    </row>
    <row r="80" spans="1:14" x14ac:dyDescent="0.2">
      <c r="A80" s="5" t="s">
        <v>47</v>
      </c>
      <c r="B80" s="4"/>
      <c r="C80" s="4"/>
      <c r="D80" s="4"/>
      <c r="E80" s="4"/>
      <c r="F80" s="4"/>
      <c r="G80" s="4"/>
      <c r="H80" s="4"/>
      <c r="I80" s="4"/>
      <c r="J80" s="4"/>
      <c r="K80" s="4"/>
      <c r="L80" s="4"/>
      <c r="M80" s="4"/>
      <c r="N80" s="4"/>
    </row>
    <row r="81" spans="1:8" x14ac:dyDescent="0.2">
      <c r="A81" s="50" t="s">
        <v>70</v>
      </c>
      <c r="B81" s="20" t="s">
        <v>71</v>
      </c>
      <c r="C81" s="20" t="s">
        <v>72</v>
      </c>
      <c r="D81" s="20" t="s">
        <v>73</v>
      </c>
      <c r="E81" s="20" t="s">
        <v>74</v>
      </c>
      <c r="F81" s="20" t="s">
        <v>75</v>
      </c>
      <c r="G81" s="20" t="s">
        <v>76</v>
      </c>
      <c r="H81" s="20" t="s">
        <v>77</v>
      </c>
    </row>
    <row r="82" spans="1:8" x14ac:dyDescent="0.2">
      <c r="A82" s="51" t="s">
        <v>54</v>
      </c>
      <c r="B82" s="44">
        <v>3465</v>
      </c>
      <c r="C82" s="44">
        <v>4863</v>
      </c>
      <c r="D82" s="44">
        <v>6009</v>
      </c>
      <c r="E82" s="44">
        <v>6657</v>
      </c>
      <c r="F82" s="44">
        <v>6890</v>
      </c>
      <c r="G82" s="44">
        <v>6999</v>
      </c>
      <c r="H82" s="44">
        <v>7077</v>
      </c>
    </row>
    <row r="83" spans="1:8" x14ac:dyDescent="0.2">
      <c r="A83" s="52" t="s">
        <v>55</v>
      </c>
      <c r="B83" s="45">
        <v>2366</v>
      </c>
      <c r="C83" s="45">
        <v>3741</v>
      </c>
      <c r="D83" s="45">
        <v>4676</v>
      </c>
      <c r="E83" s="45">
        <v>5034</v>
      </c>
      <c r="F83" s="45">
        <v>5207</v>
      </c>
      <c r="G83" s="45">
        <v>5305</v>
      </c>
      <c r="H83" s="45"/>
    </row>
    <row r="84" spans="1:8" x14ac:dyDescent="0.2">
      <c r="A84" s="51" t="s">
        <v>56</v>
      </c>
      <c r="B84" s="44">
        <v>3654</v>
      </c>
      <c r="C84" s="44">
        <v>5437</v>
      </c>
      <c r="D84" s="44">
        <v>6429</v>
      </c>
      <c r="E84" s="44">
        <v>6893</v>
      </c>
      <c r="F84" s="44">
        <v>7181</v>
      </c>
      <c r="G84" s="44"/>
      <c r="H84" s="44"/>
    </row>
    <row r="85" spans="1:8" x14ac:dyDescent="0.2">
      <c r="A85" s="52" t="s">
        <v>37</v>
      </c>
      <c r="B85" s="45">
        <v>3751</v>
      </c>
      <c r="C85" s="45">
        <v>5424</v>
      </c>
      <c r="D85" s="45">
        <v>6355</v>
      </c>
      <c r="E85" s="45">
        <v>6988</v>
      </c>
      <c r="F85" s="45"/>
      <c r="G85" s="45"/>
      <c r="H85" s="45"/>
    </row>
    <row r="86" spans="1:8" x14ac:dyDescent="0.2">
      <c r="A86" s="51" t="s">
        <v>38</v>
      </c>
      <c r="B86" s="44">
        <v>3303</v>
      </c>
      <c r="C86" s="44">
        <v>5012</v>
      </c>
      <c r="D86" s="44">
        <v>5915</v>
      </c>
      <c r="E86" s="44"/>
      <c r="F86" s="44"/>
      <c r="G86" s="44"/>
      <c r="H86" s="44"/>
    </row>
    <row r="87" spans="1:8" x14ac:dyDescent="0.2">
      <c r="A87" s="52" t="s">
        <v>39</v>
      </c>
      <c r="B87" s="45">
        <v>3594</v>
      </c>
      <c r="C87" s="45">
        <v>5174</v>
      </c>
      <c r="D87" s="45"/>
      <c r="E87" s="45"/>
      <c r="F87" s="45"/>
      <c r="G87" s="45"/>
      <c r="H87" s="45"/>
    </row>
    <row r="88" spans="1:8" x14ac:dyDescent="0.2">
      <c r="A88" s="51" t="s">
        <v>40</v>
      </c>
      <c r="B88" s="44">
        <v>3312</v>
      </c>
      <c r="C88" s="44"/>
      <c r="D88" s="44"/>
      <c r="E88" s="44"/>
      <c r="F88" s="44"/>
      <c r="G88" s="44"/>
      <c r="H88" s="44"/>
    </row>
    <row r="89" spans="1:8" x14ac:dyDescent="0.2">
      <c r="B89" s="43"/>
      <c r="C89" s="43"/>
      <c r="D89" s="43"/>
      <c r="E89" s="43"/>
      <c r="F89" s="43"/>
      <c r="G89" s="43"/>
      <c r="H89" s="43"/>
    </row>
    <row r="91" spans="1:8" x14ac:dyDescent="0.2">
      <c r="A91" s="36"/>
      <c r="B91" s="20" t="s">
        <v>48</v>
      </c>
      <c r="C91" s="20" t="s">
        <v>49</v>
      </c>
      <c r="D91" s="20" t="s">
        <v>50</v>
      </c>
      <c r="E91" s="20" t="s">
        <v>51</v>
      </c>
      <c r="F91" s="20" t="s">
        <v>52</v>
      </c>
      <c r="G91" s="20" t="s">
        <v>53</v>
      </c>
    </row>
    <row r="92" spans="1:8" x14ac:dyDescent="0.2">
      <c r="A92" s="46" t="s">
        <v>78</v>
      </c>
      <c r="B92" s="53">
        <f>B103</f>
        <v>1.4792692715198879</v>
      </c>
      <c r="C92" s="53">
        <f t="shared" ref="C92:G92" si="10">C103</f>
        <v>1.2039711748570585</v>
      </c>
      <c r="D92" s="53">
        <f t="shared" si="10"/>
        <v>1.0890447453098917</v>
      </c>
      <c r="E92" s="53">
        <f t="shared" si="10"/>
        <v>1.0370495258895716</v>
      </c>
      <c r="F92" s="53">
        <f t="shared" si="10"/>
        <v>1.0173204235785087</v>
      </c>
      <c r="G92" s="53">
        <f t="shared" si="10"/>
        <v>1.0111444492070296</v>
      </c>
    </row>
    <row r="95" spans="1:8" x14ac:dyDescent="0.2">
      <c r="A95" s="36" t="s">
        <v>3</v>
      </c>
      <c r="B95" s="41" t="s">
        <v>48</v>
      </c>
      <c r="C95" s="41" t="s">
        <v>49</v>
      </c>
      <c r="D95" s="41" t="s">
        <v>50</v>
      </c>
      <c r="E95" s="41" t="s">
        <v>51</v>
      </c>
      <c r="F95" s="41" t="s">
        <v>52</v>
      </c>
      <c r="G95" s="41" t="s">
        <v>53</v>
      </c>
    </row>
    <row r="96" spans="1:8" x14ac:dyDescent="0.2">
      <c r="A96" s="46" t="s">
        <v>54</v>
      </c>
      <c r="B96" s="53">
        <f>C82/B82</f>
        <v>1.4034632034632035</v>
      </c>
      <c r="C96" s="53">
        <f>D82/C82</f>
        <v>1.2356570018507094</v>
      </c>
      <c r="D96" s="53">
        <f t="shared" ref="D96:G97" si="11">E82/D82</f>
        <v>1.107838242636046</v>
      </c>
      <c r="E96" s="53">
        <f t="shared" si="11"/>
        <v>1.0350007510890791</v>
      </c>
      <c r="F96" s="53">
        <f t="shared" si="11"/>
        <v>1.0158200290275763</v>
      </c>
      <c r="G96" s="53">
        <f t="shared" si="11"/>
        <v>1.0111444492070296</v>
      </c>
    </row>
    <row r="97" spans="1:14" x14ac:dyDescent="0.2">
      <c r="A97" s="48" t="s">
        <v>55</v>
      </c>
      <c r="B97" s="53">
        <f t="shared" ref="B97:E101" si="12">C83/B83</f>
        <v>1.5811496196111581</v>
      </c>
      <c r="C97" s="53">
        <f t="shared" si="12"/>
        <v>1.2499331729484096</v>
      </c>
      <c r="D97" s="53">
        <f t="shared" si="12"/>
        <v>1.0765611633875107</v>
      </c>
      <c r="E97" s="53">
        <f t="shared" si="12"/>
        <v>1.0343663090981328</v>
      </c>
      <c r="F97" s="53">
        <f t="shared" si="11"/>
        <v>1.0188208181294411</v>
      </c>
      <c r="G97" s="49"/>
    </row>
    <row r="98" spans="1:14" x14ac:dyDescent="0.2">
      <c r="A98" s="46" t="s">
        <v>56</v>
      </c>
      <c r="B98" s="53">
        <f t="shared" si="12"/>
        <v>1.4879584017515053</v>
      </c>
      <c r="C98" s="53">
        <f t="shared" si="12"/>
        <v>1.1824535589479492</v>
      </c>
      <c r="D98" s="53">
        <f t="shared" si="12"/>
        <v>1.0721729662466946</v>
      </c>
      <c r="E98" s="53">
        <f t="shared" si="12"/>
        <v>1.041781517481503</v>
      </c>
      <c r="F98" s="47"/>
      <c r="G98" s="47"/>
    </row>
    <row r="99" spans="1:14" x14ac:dyDescent="0.2">
      <c r="A99" s="48" t="s">
        <v>37</v>
      </c>
      <c r="B99" s="53">
        <f t="shared" si="12"/>
        <v>1.4460143961610237</v>
      </c>
      <c r="C99" s="53">
        <f t="shared" si="12"/>
        <v>1.1716445427728615</v>
      </c>
      <c r="D99" s="53">
        <f t="shared" si="12"/>
        <v>1.0996066089693155</v>
      </c>
      <c r="E99" s="49"/>
      <c r="F99" s="49"/>
      <c r="G99" s="49"/>
    </row>
    <row r="100" spans="1:14" x14ac:dyDescent="0.2">
      <c r="A100" s="46" t="s">
        <v>38</v>
      </c>
      <c r="B100" s="53">
        <f t="shared" si="12"/>
        <v>1.5174084165909778</v>
      </c>
      <c r="C100" s="53">
        <f t="shared" si="12"/>
        <v>1.1801675977653632</v>
      </c>
      <c r="D100" s="47"/>
      <c r="E100" s="47"/>
      <c r="F100" s="47"/>
      <c r="G100" s="47"/>
    </row>
    <row r="101" spans="1:14" x14ac:dyDescent="0.2">
      <c r="A101" s="48" t="s">
        <v>39</v>
      </c>
      <c r="B101" s="53">
        <f t="shared" si="12"/>
        <v>1.4396215915414581</v>
      </c>
      <c r="C101" s="49"/>
      <c r="D101" s="49"/>
      <c r="E101" s="49"/>
      <c r="F101" s="49"/>
      <c r="G101" s="49"/>
    </row>
    <row r="102" spans="1:14" x14ac:dyDescent="0.2">
      <c r="A102" s="46" t="s">
        <v>40</v>
      </c>
      <c r="B102" s="47"/>
      <c r="C102" s="47"/>
      <c r="D102" s="47"/>
      <c r="E102" s="47"/>
      <c r="F102" s="47"/>
      <c r="G102" s="47"/>
    </row>
    <row r="103" spans="1:14" x14ac:dyDescent="0.2">
      <c r="A103" s="48" t="s">
        <v>79</v>
      </c>
      <c r="B103" s="54">
        <f>AVERAGE(B96:B101)</f>
        <v>1.4792692715198879</v>
      </c>
      <c r="C103" s="54">
        <f t="shared" ref="C103:G103" si="13">AVERAGE(C96:C101)</f>
        <v>1.2039711748570585</v>
      </c>
      <c r="D103" s="54">
        <f t="shared" si="13"/>
        <v>1.0890447453098917</v>
      </c>
      <c r="E103" s="54">
        <f t="shared" si="13"/>
        <v>1.0370495258895716</v>
      </c>
      <c r="F103" s="54">
        <f t="shared" si="13"/>
        <v>1.0173204235785087</v>
      </c>
      <c r="G103" s="54">
        <f t="shared" si="13"/>
        <v>1.0111444492070296</v>
      </c>
    </row>
    <row r="104" spans="1:14" x14ac:dyDescent="0.2">
      <c r="A104" s="16"/>
      <c r="B104" s="17"/>
      <c r="C104" s="17"/>
      <c r="D104" s="17"/>
      <c r="E104" s="17"/>
      <c r="F104" s="17"/>
      <c r="G104" s="17"/>
    </row>
    <row r="105" spans="1:14" ht="23" customHeight="1" x14ac:dyDescent="0.2">
      <c r="A105" s="16"/>
      <c r="B105" s="17"/>
      <c r="C105" s="17"/>
      <c r="D105" s="17"/>
      <c r="E105" s="17"/>
      <c r="F105" s="17"/>
      <c r="G105" s="17"/>
    </row>
    <row r="106" spans="1:14" ht="379" customHeight="1" x14ac:dyDescent="0.2">
      <c r="A106" s="3" t="s">
        <v>80</v>
      </c>
      <c r="B106" s="4"/>
      <c r="C106" s="4"/>
      <c r="D106" s="4"/>
      <c r="E106" s="4"/>
      <c r="F106" s="4"/>
      <c r="G106" s="4"/>
      <c r="H106" s="4"/>
      <c r="I106" s="4"/>
      <c r="J106" s="4"/>
      <c r="K106" s="4"/>
      <c r="L106" s="4"/>
      <c r="M106" s="4"/>
      <c r="N106" s="4"/>
    </row>
    <row r="109" spans="1:14" ht="243" customHeight="1" x14ac:dyDescent="0.2">
      <c r="A109" s="3" t="s">
        <v>81</v>
      </c>
      <c r="B109" s="4"/>
      <c r="C109" s="4"/>
      <c r="D109" s="4"/>
      <c r="E109" s="4"/>
      <c r="F109" s="4"/>
      <c r="G109" s="4"/>
      <c r="H109" s="4"/>
      <c r="I109" s="4"/>
      <c r="J109" s="4"/>
      <c r="K109" s="4"/>
      <c r="L109" s="4"/>
      <c r="M109" s="4"/>
      <c r="N109" s="4"/>
    </row>
  </sheetData>
  <mergeCells count="12">
    <mergeCell ref="A1:N1"/>
    <mergeCell ref="A109:N109"/>
    <mergeCell ref="A68:N68"/>
    <mergeCell ref="A3:N3"/>
    <mergeCell ref="A106:N106"/>
    <mergeCell ref="A4:N4"/>
    <mergeCell ref="A42:N42"/>
    <mergeCell ref="A16:N16"/>
    <mergeCell ref="A80:N80"/>
    <mergeCell ref="A40:N40"/>
    <mergeCell ref="A78:N78"/>
    <mergeCell ref="A70:N70"/>
  </mergeCells>
  <phoneticPr fontId="7" type="noConversion"/>
  <pageMargins left="0.75" right="0.75" top="1" bottom="1" header="0.5" footer="0.5"/>
  <ignoredErrors>
    <ignoredError sqref="G30:G38" formulaRange="1"/>
    <ignoredError sqref="A96:A102 A82:A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Résolution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2025-11-08T14:19:38Z</dcterms:created>
  <dcterms:modified xsi:type="dcterms:W3CDTF">2025-11-08T23:44:36Z</dcterms:modified>
</cp:coreProperties>
</file>