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pauldakpogan/Downloads/"/>
    </mc:Choice>
  </mc:AlternateContent>
  <xr:revisionPtr revIDLastSave="0" documentId="8_{0A09D5AB-5CBB-584E-964B-93E4ABA3808E}" xr6:coauthVersionLast="47" xr6:coauthVersionMax="47" xr10:uidLastSave="{00000000-0000-0000-0000-000000000000}"/>
  <bookViews>
    <workbookView xWindow="2880" yWindow="500" windowWidth="33600" windowHeight="19460" xr2:uid="{00000000-000D-0000-FFFF-FFFF00000000}"/>
  </bookViews>
  <sheets>
    <sheet name="Exercice 3 – Taux &amp; Financ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" l="1"/>
  <c r="C63" i="1" s="1"/>
  <c r="C61" i="1"/>
  <c r="C55" i="1"/>
  <c r="C54" i="1"/>
  <c r="C31" i="1"/>
  <c r="C20" i="1"/>
  <c r="C19" i="1"/>
  <c r="D18" i="1"/>
  <c r="C18" i="1"/>
  <c r="D19" i="1" l="1"/>
  <c r="C28" i="1" l="1"/>
  <c r="C37" i="1"/>
  <c r="D20" i="1"/>
  <c r="C29" i="1" l="1"/>
  <c r="C30" i="1"/>
</calcChain>
</file>

<file path=xl/sharedStrings.xml><?xml version="1.0" encoding="utf-8"?>
<sst xmlns="http://schemas.openxmlformats.org/spreadsheetml/2006/main" count="53" uniqueCount="49">
  <si>
    <t>Exercice 3 – Taux et Financement</t>
  </si>
  <si>
    <t>Calcul des taux zéro-coupon, taux forward et analyse de financement de projet</t>
  </si>
  <si>
    <t>Partie 1 – Obligations d’État et taux zéro-coupon</t>
  </si>
  <si>
    <t>Paramètres obligations</t>
  </si>
  <si>
    <t>r1 – Taux obligation 1 an</t>
  </si>
  <si>
    <t>r2 – Taux obligation 2 ans</t>
  </si>
  <si>
    <t>r3 – Taux obligation 3 ans</t>
  </si>
  <si>
    <t>ZC4 – Taux zéro-coupon 4 ans</t>
  </si>
  <si>
    <t>ZC5 – Taux zéro-coupon 5 ans</t>
  </si>
  <si>
    <t>Question 1 – Calcul des taux zéro-coupon</t>
  </si>
  <si>
    <t>Calculez, pour chaque année, le taux zéro-coupon.</t>
  </si>
  <si>
    <t>Réponse</t>
  </si>
  <si>
    <t>Les taux zéro-coupon sont déterminés à partir des taux des obligations en supposant que les obligations sont à parité (prix = 100). Pour l’obligation 1 an, le taux zéro-coupon est égal au taux de l’obligation. Pour les obligations 2 ans et 3 ans, on résout les équations de valorisation pour obtenir TZC2 et TZC3.</t>
  </si>
  <si>
    <t>Année</t>
  </si>
  <si>
    <t>Taux obligation (r)</t>
  </si>
  <si>
    <t>Taux zéro-coupon</t>
  </si>
  <si>
    <t>Question 2 – Taux forward 1 an</t>
  </si>
  <si>
    <t>Calculez les taux forward pour chaque année en utilisant les taux zéro-coupon 1 à 5 ans.</t>
  </si>
  <si>
    <t>La formule du taux forward entre les maturités t1 et t2 est : F(t1,t2) = ((1+ZC_{t2})^{t2} / (1+ZC_{t1})^{t1})^{1/(t2-t1)} − 1.</t>
  </si>
  <si>
    <t>Taux forward</t>
  </si>
  <si>
    <t>Valeur</t>
  </si>
  <si>
    <t>F(1,2)</t>
  </si>
  <si>
    <t>F(2,3)</t>
  </si>
  <si>
    <t>F(3,4)</t>
  </si>
  <si>
    <t>F(4,5)</t>
  </si>
  <si>
    <t>Question 3 – Taux forward 3 ans dans 2 ans</t>
  </si>
  <si>
    <t>Calculez le taux forward 3 ans dans 2 ans (F(2,5)).</t>
  </si>
  <si>
    <t>On utilise la même formule des taux forward. Le taux 3 ans dans 2 ans est F(2,5) = ((1+ZC5)^5 / (1+ZC2)^2)^{1/3} − 1.</t>
  </si>
  <si>
    <t>F(2,5)</t>
  </si>
  <si>
    <t>Partie 2 – Financement du film (Murphy)</t>
  </si>
  <si>
    <t>Paramètres financement</t>
  </si>
  <si>
    <t>C0 – Capital placé initial</t>
  </si>
  <si>
    <t>i – Taux épargne</t>
  </si>
  <si>
    <t>n – Durée (années)</t>
  </si>
  <si>
    <t>Cfilm – Coût du film</t>
  </si>
  <si>
    <t>Rfilm – Recette du film</t>
  </si>
  <si>
    <t>g – Taux d’inflation</t>
  </si>
  <si>
    <t>m – Durée inflation (années)</t>
  </si>
  <si>
    <t>Question 4 – Capital placé et coût du film</t>
  </si>
  <si>
    <t>M. Murphy a-t-il placé suffisamment d’argent sur son compte épargne ? Si non, combien aurait-il dû placer ?</t>
  </si>
  <si>
    <t>La valeur future du capital placé est calculée par FV = C0 × (1 + i)^n. Le capital requis pour financer le film est PV = Cfilm / (1 + i)^n. Si FV &lt; Cfilm, alors l’investissement initial est insuffisant.</t>
  </si>
  <si>
    <t>Valeur future du capital (FV)</t>
  </si>
  <si>
    <t>Capital requis (PV)</t>
  </si>
  <si>
    <t>Question 5 – Inflation et bénéfices</t>
  </si>
  <si>
    <t>En supposant qu’il a réussi à récolter suffisamment, le film rapportera 600 M$ en 2028. On anticipe une inflation de 5 % pour les prochaines années. M. Murphy va-t-il faire des bénéfices ?</t>
  </si>
  <si>
    <t>Le coût du film ajusté de l’inflation est Cfilm × (1 + g)^m. Si ce coût actualisé est supérieur aux recettes, M. Murphy ne fera pas de bénéfices.</t>
  </si>
  <si>
    <t>Coût ajusté à l’inflation</t>
  </si>
  <si>
    <t>Recettes du film</t>
  </si>
  <si>
    <t>Bénéfice (Recettes – Coût ajusté)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</si>
</sst>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2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F52BA"/>
      </patternFill>
    </fill>
    <fill>
      <patternFill patternType="solid">
        <fgColor rgb="FF345CAD"/>
      </patternFill>
    </fill>
    <fill>
      <patternFill patternType="solid">
        <fgColor rgb="FF6A5ACD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EE8FA"/>
      </patternFill>
    </fill>
    <fill>
      <patternFill patternType="solid">
        <fgColor rgb="FFE1F5F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5" borderId="1" xfId="0" applyFont="1" applyFill="1" applyBorder="1"/>
    <xf numFmtId="10" fontId="5" fillId="6" borderId="1" xfId="0" applyNumberFormat="1" applyFont="1" applyFill="1" applyBorder="1"/>
    <xf numFmtId="0" fontId="5" fillId="6" borderId="1" xfId="0" applyFont="1" applyFill="1" applyBorder="1"/>
    <xf numFmtId="3" fontId="5" fillId="6" borderId="1" xfId="0" applyNumberFormat="1" applyFont="1" applyFill="1" applyBorder="1"/>
    <xf numFmtId="4" fontId="5" fillId="6" borderId="1" xfId="0" applyNumberFormat="1" applyFont="1" applyFill="1" applyBorder="1"/>
    <xf numFmtId="0" fontId="3" fillId="4" borderId="0" xfId="0" applyFont="1" applyFill="1"/>
    <xf numFmtId="0" fontId="0" fillId="0" borderId="0" xfId="0"/>
    <xf numFmtId="0" fontId="5" fillId="8" borderId="0" xfId="0" applyFont="1" applyFill="1" applyAlignment="1">
      <alignment wrapText="1"/>
    </xf>
    <xf numFmtId="0" fontId="6" fillId="7" borderId="0" xfId="0" applyFont="1" applyFill="1"/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63"/>
  <sheetViews>
    <sheetView tabSelected="1" workbookViewId="0">
      <selection activeCell="H68" sqref="H68"/>
    </sheetView>
  </sheetViews>
  <sheetFormatPr baseColWidth="10" defaultColWidth="8.83203125" defaultRowHeight="15" x14ac:dyDescent="0.2"/>
  <cols>
    <col min="1" max="1" width="5" customWidth="1"/>
    <col min="2" max="2" width="35" customWidth="1"/>
    <col min="3" max="5" width="20" customWidth="1"/>
    <col min="6" max="6" width="25" customWidth="1"/>
    <col min="7" max="12" width="20" customWidth="1"/>
  </cols>
  <sheetData>
    <row r="1" spans="2:12" ht="21" x14ac:dyDescent="0.25">
      <c r="B1" s="11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</row>
    <row r="2" spans="2:12" ht="16" x14ac:dyDescent="0.2">
      <c r="B2" s="10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</row>
    <row r="4" spans="2:12" ht="16" x14ac:dyDescent="0.2">
      <c r="B4" s="6" t="s">
        <v>2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spans="2:12" ht="16" x14ac:dyDescent="0.2">
      <c r="B5" s="6" t="s">
        <v>3</v>
      </c>
      <c r="C5" s="7"/>
    </row>
    <row r="6" spans="2:12" x14ac:dyDescent="0.2">
      <c r="B6" s="1" t="s">
        <v>4</v>
      </c>
      <c r="C6" s="2">
        <v>2.2100000000000002E-2</v>
      </c>
    </row>
    <row r="7" spans="2:12" x14ac:dyDescent="0.2">
      <c r="B7" s="1" t="s">
        <v>5</v>
      </c>
      <c r="C7" s="2">
        <v>3.3700000000000001E-2</v>
      </c>
    </row>
    <row r="8" spans="2:12" x14ac:dyDescent="0.2">
      <c r="B8" s="1" t="s">
        <v>6</v>
      </c>
      <c r="C8" s="2">
        <v>4.4200000000000003E-2</v>
      </c>
    </row>
    <row r="9" spans="2:12" x14ac:dyDescent="0.2">
      <c r="B9" s="1" t="s">
        <v>7</v>
      </c>
      <c r="C9" s="2">
        <v>4.8800000000000003E-2</v>
      </c>
    </row>
    <row r="10" spans="2:12" x14ac:dyDescent="0.2">
      <c r="B10" s="1" t="s">
        <v>8</v>
      </c>
      <c r="C10" s="2">
        <v>5.5599999999999997E-2</v>
      </c>
    </row>
    <row r="12" spans="2:12" ht="16" x14ac:dyDescent="0.2">
      <c r="B12" s="6" t="s">
        <v>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2:12" x14ac:dyDescent="0.2">
      <c r="B13" s="9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2:12" ht="16" x14ac:dyDescent="0.2">
      <c r="B14" s="6" t="s">
        <v>11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2:12" x14ac:dyDescent="0.2">
      <c r="B15" s="8" t="s">
        <v>12</v>
      </c>
      <c r="C15" s="7"/>
      <c r="D15" s="7"/>
      <c r="E15" s="7"/>
      <c r="F15" s="7"/>
      <c r="G15" s="7"/>
      <c r="H15" s="7"/>
      <c r="I15" s="7"/>
      <c r="J15" s="7"/>
      <c r="K15" s="7"/>
      <c r="L15" s="7"/>
    </row>
    <row r="17" spans="2:12" x14ac:dyDescent="0.2">
      <c r="B17" s="1" t="s">
        <v>13</v>
      </c>
      <c r="C17" s="1" t="s">
        <v>14</v>
      </c>
      <c r="D17" s="1" t="s">
        <v>15</v>
      </c>
    </row>
    <row r="18" spans="2:12" x14ac:dyDescent="0.2">
      <c r="B18" s="3">
        <v>1</v>
      </c>
      <c r="C18" s="3">
        <f>$C$6</f>
        <v>2.2100000000000002E-2</v>
      </c>
      <c r="D18" s="3">
        <f>$C$6</f>
        <v>2.2100000000000002E-2</v>
      </c>
    </row>
    <row r="19" spans="2:12" x14ac:dyDescent="0.2">
      <c r="B19" s="3">
        <v>2</v>
      </c>
      <c r="C19" s="3">
        <f>$C$7</f>
        <v>3.3700000000000001E-2</v>
      </c>
      <c r="D19" s="3">
        <f>POWER((1 + $C$7)/(1 - $C$7/(1 + D18)),0.5) - 1</f>
        <v>3.3897735033541432E-2</v>
      </c>
    </row>
    <row r="20" spans="2:12" x14ac:dyDescent="0.2">
      <c r="B20" s="3">
        <v>3</v>
      </c>
      <c r="C20" s="3">
        <f>$C$8</f>
        <v>4.4200000000000003E-2</v>
      </c>
      <c r="D20" s="3">
        <f>POWER((1 + $C$8)/(1 - $C$8/(1 + D18) - $C$8/POWER(1 + D19,2)),1/3) - 1</f>
        <v>4.4856300021541395E-2</v>
      </c>
    </row>
    <row r="22" spans="2:12" ht="16" x14ac:dyDescent="0.2">
      <c r="B22" s="6" t="s">
        <v>16</v>
      </c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2:12" x14ac:dyDescent="0.2">
      <c r="B23" s="9" t="s">
        <v>17</v>
      </c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2:12" ht="16" x14ac:dyDescent="0.2">
      <c r="B24" s="6" t="s">
        <v>11</v>
      </c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2:12" x14ac:dyDescent="0.2">
      <c r="B25" s="8" t="s">
        <v>18</v>
      </c>
      <c r="C25" s="7"/>
      <c r="D25" s="7"/>
      <c r="E25" s="7"/>
      <c r="F25" s="7"/>
      <c r="G25" s="7"/>
      <c r="H25" s="7"/>
      <c r="I25" s="7"/>
      <c r="J25" s="7"/>
      <c r="K25" s="7"/>
      <c r="L25" s="7"/>
    </row>
    <row r="27" spans="2:12" x14ac:dyDescent="0.2">
      <c r="B27" s="1" t="s">
        <v>19</v>
      </c>
      <c r="C27" s="1" t="s">
        <v>20</v>
      </c>
    </row>
    <row r="28" spans="2:12" x14ac:dyDescent="0.2">
      <c r="B28" s="1" t="s">
        <v>21</v>
      </c>
      <c r="C28" s="3">
        <f>(POWER(1 + D19,2)/(1 + D18)) - 1</f>
        <v>4.5831647106434836E-2</v>
      </c>
    </row>
    <row r="29" spans="2:12" x14ac:dyDescent="0.2">
      <c r="B29" s="1" t="s">
        <v>22</v>
      </c>
      <c r="C29" s="3">
        <f>(POWER(1 + D20,3)/POWER(1 + D19,2)) - 1</f>
        <v>6.7123119619503457E-2</v>
      </c>
    </row>
    <row r="30" spans="2:12" x14ac:dyDescent="0.2">
      <c r="B30" s="1" t="s">
        <v>23</v>
      </c>
      <c r="C30" s="3">
        <f>(POWER(1 + $C$9,4)/POWER(1 + D20,3)) - 1</f>
        <v>6.0720635355548946E-2</v>
      </c>
    </row>
    <row r="31" spans="2:12" x14ac:dyDescent="0.2">
      <c r="B31" s="1" t="s">
        <v>24</v>
      </c>
      <c r="C31" s="3">
        <f>(POWER(1 + $C$10,5)/POWER(1 + $C$9,4)) - 1</f>
        <v>8.3243752620476563E-2</v>
      </c>
    </row>
    <row r="33" spans="2:12" ht="16" x14ac:dyDescent="0.2">
      <c r="B33" s="6" t="s">
        <v>25</v>
      </c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2:12" x14ac:dyDescent="0.2">
      <c r="B34" s="9" t="s">
        <v>26</v>
      </c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2:12" ht="16" x14ac:dyDescent="0.2">
      <c r="B35" s="6" t="s">
        <v>11</v>
      </c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2:12" x14ac:dyDescent="0.2">
      <c r="B36" s="8" t="s">
        <v>27</v>
      </c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2:12" x14ac:dyDescent="0.2">
      <c r="B37" s="1" t="s">
        <v>28</v>
      </c>
      <c r="C37" s="3">
        <f>POWER((POWER(1 + $C$10,5)/POWER(1 + D19,2)),1/3) - 1</f>
        <v>7.0320671758945297E-2</v>
      </c>
    </row>
    <row r="40" spans="2:12" ht="16" x14ac:dyDescent="0.2">
      <c r="B40" s="6" t="s">
        <v>29</v>
      </c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2:12" ht="16" x14ac:dyDescent="0.2">
      <c r="B41" s="6" t="s">
        <v>30</v>
      </c>
      <c r="C41" s="7"/>
    </row>
    <row r="42" spans="2:12" x14ac:dyDescent="0.2">
      <c r="B42" s="1" t="s">
        <v>31</v>
      </c>
      <c r="C42" s="4">
        <v>400000000</v>
      </c>
    </row>
    <row r="43" spans="2:12" x14ac:dyDescent="0.2">
      <c r="B43" s="1" t="s">
        <v>32</v>
      </c>
      <c r="C43" s="2">
        <v>0.06</v>
      </c>
    </row>
    <row r="44" spans="2:12" x14ac:dyDescent="0.2">
      <c r="B44" s="1" t="s">
        <v>33</v>
      </c>
      <c r="C44" s="3">
        <v>3</v>
      </c>
    </row>
    <row r="45" spans="2:12" x14ac:dyDescent="0.2">
      <c r="B45" s="1" t="s">
        <v>34</v>
      </c>
      <c r="C45" s="4">
        <v>500000000</v>
      </c>
    </row>
    <row r="46" spans="2:12" x14ac:dyDescent="0.2">
      <c r="B46" s="1" t="s">
        <v>35</v>
      </c>
      <c r="C46" s="4">
        <v>600000000</v>
      </c>
    </row>
    <row r="47" spans="2:12" x14ac:dyDescent="0.2">
      <c r="B47" s="1" t="s">
        <v>36</v>
      </c>
      <c r="C47" s="2">
        <v>0.05</v>
      </c>
    </row>
    <row r="48" spans="2:12" x14ac:dyDescent="0.2">
      <c r="B48" s="1" t="s">
        <v>37</v>
      </c>
      <c r="C48" s="3">
        <v>5</v>
      </c>
    </row>
    <row r="50" spans="2:12" ht="16" x14ac:dyDescent="0.2">
      <c r="B50" s="6" t="s">
        <v>38</v>
      </c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2:12" x14ac:dyDescent="0.2">
      <c r="B51" s="9" t="s">
        <v>39</v>
      </c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2:12" ht="16" x14ac:dyDescent="0.2">
      <c r="B52" s="6" t="s">
        <v>11</v>
      </c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2:12" x14ac:dyDescent="0.2">
      <c r="B53" s="8" t="s">
        <v>40</v>
      </c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2:12" x14ac:dyDescent="0.2">
      <c r="B54" s="1" t="s">
        <v>41</v>
      </c>
      <c r="C54" s="5">
        <f>$C$42*POWER(1+$C$43,$C$44)</f>
        <v>476406400.00000012</v>
      </c>
    </row>
    <row r="55" spans="2:12" x14ac:dyDescent="0.2">
      <c r="B55" s="1" t="s">
        <v>42</v>
      </c>
      <c r="C55" s="5">
        <f>$C$45/POWER(1+$C$43,$C$44)</f>
        <v>419809641.51615083</v>
      </c>
    </row>
    <row r="57" spans="2:12" ht="16" x14ac:dyDescent="0.2">
      <c r="B57" s="6" t="s">
        <v>43</v>
      </c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2:12" x14ac:dyDescent="0.2">
      <c r="B58" s="9" t="s">
        <v>44</v>
      </c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2:12" ht="16" x14ac:dyDescent="0.2">
      <c r="B59" s="6" t="s">
        <v>11</v>
      </c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2:12" x14ac:dyDescent="0.2">
      <c r="B60" s="8" t="s">
        <v>45</v>
      </c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2:12" x14ac:dyDescent="0.2">
      <c r="B61" s="1" t="s">
        <v>46</v>
      </c>
      <c r="C61" s="5">
        <f>$C$45*POWER(1+$C$47,$C$48)</f>
        <v>638140781.25000012</v>
      </c>
    </row>
    <row r="62" spans="2:12" x14ac:dyDescent="0.2">
      <c r="B62" s="1" t="s">
        <v>47</v>
      </c>
      <c r="C62" s="5">
        <f>$C$46</f>
        <v>600000000</v>
      </c>
    </row>
    <row r="63" spans="2:12" x14ac:dyDescent="0.2">
      <c r="B63" s="1" t="s">
        <v>48</v>
      </c>
      <c r="C63" s="5">
        <f>$C$62 - $C$61</f>
        <v>-38140781.250000119</v>
      </c>
    </row>
  </sheetData>
  <mergeCells count="26">
    <mergeCell ref="B2:L2"/>
    <mergeCell ref="B14:L14"/>
    <mergeCell ref="B60:L60"/>
    <mergeCell ref="B23:L23"/>
    <mergeCell ref="B1:L1"/>
    <mergeCell ref="B57:L57"/>
    <mergeCell ref="B53:L53"/>
    <mergeCell ref="B13:L13"/>
    <mergeCell ref="B34:L34"/>
    <mergeCell ref="B40:L40"/>
    <mergeCell ref="B5:C5"/>
    <mergeCell ref="B15:L15"/>
    <mergeCell ref="B33:L33"/>
    <mergeCell ref="B24:L24"/>
    <mergeCell ref="B51:L51"/>
    <mergeCell ref="B36:L36"/>
    <mergeCell ref="B35:L35"/>
    <mergeCell ref="B4:L4"/>
    <mergeCell ref="B50:L50"/>
    <mergeCell ref="B25:L25"/>
    <mergeCell ref="B59:L59"/>
    <mergeCell ref="B22:L22"/>
    <mergeCell ref="B12:L12"/>
    <mergeCell ref="B58:L58"/>
    <mergeCell ref="B52:L52"/>
    <mergeCell ref="B41:C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 3 – Taux &amp; Financement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dakpogan</cp:lastModifiedBy>
  <dcterms:created xsi:type="dcterms:W3CDTF">2025-11-07T23:36:53Z</dcterms:created>
  <dcterms:modified xsi:type="dcterms:W3CDTF">2025-11-08T23:35:13Z</dcterms:modified>
</cp:coreProperties>
</file>