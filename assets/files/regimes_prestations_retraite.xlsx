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7754333E-CCD1-1845-B671-91174A8937F5}" xr6:coauthVersionLast="47" xr6:coauthVersionMax="47" xr10:uidLastSave="{00000000-0000-0000-0000-000000000000}"/>
  <bookViews>
    <workbookView xWindow="1100" yWindow="500" windowWidth="28460" windowHeight="19500" activeTab="6" xr2:uid="{00000000-000D-0000-FFFF-FFFF00000000}"/>
  </bookViews>
  <sheets>
    <sheet name="Index" sheetId="1" r:id="rId1"/>
    <sheet name="01_Intro" sheetId="2" r:id="rId2"/>
    <sheet name="02_Alea" sheetId="3" r:id="rId3"/>
    <sheet name="03_Certains" sheetId="4" r:id="rId4"/>
    <sheet name="04_IAS19_Alea" sheetId="5" r:id="rId5"/>
    <sheet name="IFC_ IAS 19" sheetId="11" r:id="rId6"/>
    <sheet name="traitement comptable IAS 19" sheetId="12" r:id="rId7"/>
  </sheets>
  <externalReferences>
    <externalReference r:id="rId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2" l="1"/>
  <c r="B35" i="12"/>
  <c r="F30" i="12"/>
  <c r="F29" i="12"/>
  <c r="F28" i="12"/>
  <c r="C19" i="12"/>
  <c r="C18" i="12"/>
  <c r="C17" i="12"/>
  <c r="B30" i="12" s="1"/>
  <c r="C30" i="12" s="1"/>
  <c r="D30" i="12" s="1"/>
  <c r="E30" i="12" s="1"/>
  <c r="C16" i="12"/>
  <c r="C15" i="12"/>
  <c r="G30" i="12" s="1"/>
  <c r="D11" i="12"/>
  <c r="G33" i="11"/>
  <c r="F33" i="11"/>
  <c r="B33" i="11"/>
  <c r="C33" i="11" s="1"/>
  <c r="D33" i="11" s="1"/>
  <c r="E33" i="11" s="1"/>
  <c r="G32" i="11"/>
  <c r="F32" i="11"/>
  <c r="B32" i="11"/>
  <c r="C32" i="11" s="1"/>
  <c r="D32" i="11" s="1"/>
  <c r="E32" i="11" s="1"/>
  <c r="G31" i="11"/>
  <c r="F31" i="11"/>
  <c r="B31" i="11"/>
  <c r="C31" i="11" s="1"/>
  <c r="D31" i="11" s="1"/>
  <c r="E31" i="11" s="1"/>
  <c r="D19" i="11"/>
  <c r="C19" i="4"/>
  <c r="C20" i="4" s="1"/>
  <c r="C21" i="3"/>
  <c r="C22" i="3"/>
  <c r="C16" i="2"/>
  <c r="B20" i="5"/>
  <c r="B19" i="5"/>
  <c r="B13" i="4"/>
  <c r="C21" i="4" s="1"/>
  <c r="B13" i="3"/>
  <c r="C18" i="2"/>
  <c r="B18" i="2"/>
  <c r="C17" i="2"/>
  <c r="B17" i="2"/>
  <c r="B16" i="2"/>
  <c r="B36" i="12" l="1"/>
  <c r="B38" i="12"/>
  <c r="I30" i="12"/>
  <c r="H30" i="12"/>
  <c r="G28" i="12"/>
  <c r="G29" i="12"/>
  <c r="B28" i="12"/>
  <c r="C28" i="12" s="1"/>
  <c r="D28" i="12" s="1"/>
  <c r="E28" i="12" s="1"/>
  <c r="E31" i="12" s="1"/>
  <c r="B29" i="12"/>
  <c r="C29" i="12" s="1"/>
  <c r="D29" i="12" s="1"/>
  <c r="E29" i="12" s="1"/>
  <c r="I32" i="11"/>
  <c r="H32" i="11"/>
  <c r="I33" i="11"/>
  <c r="H33" i="11"/>
  <c r="I31" i="11"/>
  <c r="I34" i="11" s="1"/>
  <c r="H31" i="11"/>
  <c r="H34" i="11" s="1"/>
  <c r="C23" i="5"/>
  <c r="D23" i="5" s="1"/>
  <c r="C22" i="4"/>
  <c r="C23" i="3"/>
  <c r="B23" i="3"/>
  <c r="C24" i="5"/>
  <c r="D24" i="5" s="1"/>
  <c r="C25" i="5"/>
  <c r="D25" i="5" s="1"/>
  <c r="I29" i="12" l="1"/>
  <c r="H29" i="12"/>
  <c r="I28" i="12"/>
  <c r="I31" i="12" s="1"/>
  <c r="B41" i="12" s="1"/>
  <c r="H28" i="12"/>
  <c r="H31" i="12" s="1"/>
  <c r="B39" i="12" s="1"/>
  <c r="B42" i="12" s="1"/>
  <c r="B44" i="12" s="1"/>
  <c r="B40" i="12" l="1"/>
</calcChain>
</file>

<file path=xl/sharedStrings.xml><?xml version="1.0" encoding="utf-8"?>
<sst xmlns="http://schemas.openxmlformats.org/spreadsheetml/2006/main" count="331" uniqueCount="196">
  <si>
    <t>Formation: Régimes à prestations définies &amp; IFC/IDR</t>
  </si>
  <si>
    <t>Modules et Exercices</t>
  </si>
  <si>
    <t>Module</t>
  </si>
  <si>
    <t>Exercice</t>
  </si>
  <si>
    <t>Objectif</t>
  </si>
  <si>
    <t>Lien</t>
  </si>
  <si>
    <t>Statut</t>
  </si>
  <si>
    <t>1</t>
  </si>
  <si>
    <t>01_Intro</t>
  </si>
  <si>
    <t>Intro et mini-cas</t>
  </si>
  <si>
    <t>Ouvrir</t>
  </si>
  <si>
    <t>2</t>
  </si>
  <si>
    <t>02_Alea</t>
  </si>
  <si>
    <t>Régime aléatoire</t>
  </si>
  <si>
    <t>3</t>
  </si>
  <si>
    <t>03_Certains</t>
  </si>
  <si>
    <t>Régime à droits certains</t>
  </si>
  <si>
    <t>4</t>
  </si>
  <si>
    <t>04_IAS19_Alea</t>
  </si>
  <si>
    <t>Évaluation des engagements (IAS19)</t>
  </si>
  <si>
    <t>5</t>
  </si>
  <si>
    <t>6</t>
  </si>
  <si>
    <t>Module 1 — Introduction: Régimes à prestations définies</t>
  </si>
  <si>
    <t>Objectif : Comprendre la différence entre droits aléatoires et droits certains, et l'évolution réglementaire.</t>
  </si>
  <si>
    <t>Mini-cas : Calcul des rentes dans différents régimes</t>
  </si>
  <si>
    <t>Paramètre</t>
  </si>
  <si>
    <t>Valeur</t>
  </si>
  <si>
    <t>Unité</t>
  </si>
  <si>
    <t>Commentaire</t>
  </si>
  <si>
    <t>Type de régime</t>
  </si>
  <si>
    <t>Aléatoire</t>
  </si>
  <si>
    <t>-</t>
  </si>
  <si>
    <t>Taux de droit</t>
  </si>
  <si>
    <t>0,2% par année</t>
  </si>
  <si>
    <t>Salaire actuel</t>
  </si>
  <si>
    <t>€</t>
  </si>
  <si>
    <t>Salaire au 31/12/2019</t>
  </si>
  <si>
    <t>Salaire final</t>
  </si>
  <si>
    <t>Salaire estimé à la retraite</t>
  </si>
  <si>
    <t>Ancienneté</t>
  </si>
  <si>
    <t>ans</t>
  </si>
  <si>
    <t>Nombre d'années au 31/12/2019</t>
  </si>
  <si>
    <t>Correction</t>
  </si>
  <si>
    <t>Méthode</t>
  </si>
  <si>
    <t>Formule Excel</t>
  </si>
  <si>
    <t>Résultat</t>
  </si>
  <si>
    <t>Aléatoire – Cristallisé</t>
  </si>
  <si>
    <t>Salaire figé (Salaire actuel)</t>
  </si>
  <si>
    <t>Aléatoire – Gelé</t>
  </si>
  <si>
    <t>Certain – Année n</t>
  </si>
  <si>
    <t>Droits ‘certains’ de l’année</t>
  </si>
  <si>
    <t>Module 2 — Régime à droits aléatoires (avant 2019)</t>
  </si>
  <si>
    <t>Objectif : Calculer la rente cristallisée et la rente gelée, et analyser l’écart.</t>
  </si>
  <si>
    <t>Énoncé :
Une entreprise s’engage à verser une rente annuelle égale à 0,2 % du salaire par année d’ancienneté au moment du départ à la retraite, sous réserve que le salarié soit encore présent.
Un salarié est âgé de 45 ans au 31/12/2019, a 10 ans d’ancienneté, un salaire annuel de 100 000 € et un salaire estimé à 180 000 € à la retraite (65 ans).
Travail demandé :
1. Calculez la rente annuelle selon la méthode de cristallisation (rente figée).
2. Calculez la rente annuelle selon la méthode du gel des droits (prise en compte du salaire final).
3. Comparez les deux approches et expliquez la différence.</t>
  </si>
  <si>
    <t>Âge actuel</t>
  </si>
  <si>
    <t>Age au 31/12/2019</t>
  </si>
  <si>
    <t>Âge retraite</t>
  </si>
  <si>
    <t>Age prévu pour la retraite</t>
  </si>
  <si>
    <t>Années restantes</t>
  </si>
  <si>
    <t>Durée jusqu’à la retraite</t>
  </si>
  <si>
    <t>Durée d’ancienneté au 31/12/2019</t>
  </si>
  <si>
    <t>0,2 %</t>
  </si>
  <si>
    <t>Calculs</t>
  </si>
  <si>
    <t>Rente</t>
  </si>
  <si>
    <t>Interprétation</t>
  </si>
  <si>
    <t>Rente cristallisée</t>
  </si>
  <si>
    <t>Rente figée sur le salaire actuel</t>
  </si>
  <si>
    <t>Rente gel des droits</t>
  </si>
  <si>
    <t>Rente basée sur le salaire final</t>
  </si>
  <si>
    <t>Écart</t>
  </si>
  <si>
    <t>Différence due à la croissance salariale</t>
  </si>
  <si>
    <t>Module 3 — Régime à droits certains (depuis 2019)</t>
  </si>
  <si>
    <t>Objectif : Calculer l’évolution des droits acquis sur deux années et illustrer le plafonnement à la croissance du PASS.</t>
  </si>
  <si>
    <t>Énoncé :
Dans un régime à droits certains, l’entreprise octroie chaque année des droits à hauteur de 0,2 % de la rémunération annuelle, revalorisés comme les salaires (dans la limite du PASS).
Un salarié de 45 ans perçoit un salaire annuel de 100 000 € lors de la mise en place du régime.
Travail demandé :
1. Calculez la rente attribuée la 1ère année.
2. En 2e année, le salaire augmente de 5 % (105 000 €) et le PASS augmente de 3 %. Revalorisez la rente acquise la 1ère année selon la limite minimale entre l’augmentation du salaire et du PASS.
3. Calculez la rente de la 2e année.
4. Donnez le total cumulé des rentes acquises sur 2 ans.
5. Expliquez pourquoi la revalorisation est plafonnée par la croissance du PASS.</t>
  </si>
  <si>
    <t>Salaire Année 1</t>
  </si>
  <si>
    <t>Salaire initial</t>
  </si>
  <si>
    <t>Hausse salaire Année 2</t>
  </si>
  <si>
    <t>Augmentation de 5 %</t>
  </si>
  <si>
    <t>Salaire Année 2</t>
  </si>
  <si>
    <t>Calculé automatiquement</t>
  </si>
  <si>
    <t>Hausse PASS</t>
  </si>
  <si>
    <t>Augmentation du PASS de 3 %</t>
  </si>
  <si>
    <t>Élément</t>
  </si>
  <si>
    <t>Rente Année 1</t>
  </si>
  <si>
    <t>Revalo Année 1</t>
  </si>
  <si>
    <t>Rente Année 2</t>
  </si>
  <si>
    <t>Total 2 ans</t>
  </si>
  <si>
    <t>Module 4 — Évaluation des engagements (IAS 19)</t>
  </si>
  <si>
    <t>Objectif : Calculer la valeur actuelle probable (VAP) et la dette brute d'obligation (DBO) pour différents régimes.</t>
  </si>
  <si>
    <t>Symbole</t>
  </si>
  <si>
    <t>Âge départ à la retraite</t>
  </si>
  <si>
    <t>Age_dep</t>
  </si>
  <si>
    <t>Fin de carrière</t>
  </si>
  <si>
    <t>Taux de turnover</t>
  </si>
  <si>
    <t>Turnover</t>
  </si>
  <si>
    <t>1 % par an</t>
  </si>
  <si>
    <t>Taux d’actualisation</t>
  </si>
  <si>
    <t>i</t>
  </si>
  <si>
    <t>0,5 %</t>
  </si>
  <si>
    <t>Évolution du PASS</t>
  </si>
  <si>
    <t>g</t>
  </si>
  <si>
    <t>3 % par an</t>
  </si>
  <si>
    <t>Taux de mortalité</t>
  </si>
  <si>
    <t>q</t>
  </si>
  <si>
    <t>5 % (45-65 ans)</t>
  </si>
  <si>
    <t>ax</t>
  </si>
  <si>
    <t>Facteur a_x</t>
  </si>
  <si>
    <t>Anc</t>
  </si>
  <si>
    <t>Durée d’ancienneté</t>
  </si>
  <si>
    <t>n</t>
  </si>
  <si>
    <t>Survie 45-65</t>
  </si>
  <si>
    <t>p_survie</t>
  </si>
  <si>
    <t>Survie = 1 - mortalité</t>
  </si>
  <si>
    <t>Calcul des facteurs communs :</t>
  </si>
  <si>
    <t>Facteur présence</t>
  </si>
  <si>
    <t>Escompte</t>
  </si>
  <si>
    <t>Cas</t>
  </si>
  <si>
    <t>Rente (R)</t>
  </si>
  <si>
    <t>VAP</t>
  </si>
  <si>
    <t>DBO</t>
  </si>
  <si>
    <t>Droits cristallisés</t>
  </si>
  <si>
    <t>Rente basée sur salaire actuel</t>
  </si>
  <si>
    <t>Droits gelés</t>
  </si>
  <si>
    <t>Rente basée sur salaire final</t>
  </si>
  <si>
    <t>Droits certains</t>
  </si>
  <si>
    <t>Rente certaine avec projection PASS</t>
  </si>
  <si>
    <t>Profil de carrière</t>
  </si>
  <si>
    <t>Âge</t>
  </si>
  <si>
    <t>Salaire au terme</t>
  </si>
  <si>
    <t>Individu 1</t>
  </si>
  <si>
    <t>Individu 2</t>
  </si>
  <si>
    <t>Individu 3</t>
  </si>
  <si>
    <t>Total</t>
  </si>
  <si>
    <t>Engagement au 31/12/2023</t>
  </si>
  <si>
    <t>Prestations 2024 attendues</t>
  </si>
  <si>
    <t>Prestations 2025 attendues</t>
  </si>
  <si>
    <t>Fait</t>
  </si>
  <si>
    <t>Ancienneté*Salaire actuel*Taux de droit</t>
  </si>
  <si>
    <t>Ancienneté*Salaire final*Taux de droit</t>
  </si>
  <si>
    <t xml:space="preserve">Formule </t>
  </si>
  <si>
    <t>=Taux_droit*Salaire_Année1</t>
  </si>
  <si>
    <t>=Rente_A1*(1+MIN(Hausse_Salaire_Année2;Hausse_PASS))</t>
  </si>
  <si>
    <t>=Taux_droit*Salaire_Année2</t>
  </si>
  <si>
    <t>=Revalo_A1+Rente_A2</t>
  </si>
  <si>
    <t>n = Age_dep(65) - Age_actuel (45)</t>
  </si>
  <si>
    <r>
      <t xml:space="preserve">On souhaite évaluer, selon les principes de la norme IAS 19, la valeur actuelle des engagements (VAP) et la dette brute d’obligation (DBO) au 31/12/2019.
Trois types de régimes sont à considérer :
Régime à droits aléatoires cristallisés : la rente est figée sur la base du salaire actuel (pas de revalorisation).
Régime à droits aléatoires gelés : la rente est calculée sur le salaire futur à la retraite.
Régime à droits certains : les droits sont acquis immédiatement chaque année et revalorisés au taux d’évolution du PASS.
Le salarié étudié a les caractéristiques suivantes :
Âge actuel : 45 ans
Ancienneté au 31/12/2019 : 10 ans
Âge de départ à la retraite : 65 ans
Salaire annuel actuel : 100 000 €
Salaire projeté à la retraite : 180 000 €
</t>
    </r>
    <r>
      <rPr>
        <b/>
        <sz val="14"/>
        <color rgb="FF00008F"/>
        <rFont val="Calibri (Corps)"/>
      </rPr>
      <t>1)Calculer les facteurs communs : le facteur de présence, le facteur d’escompte. 
2)Pour chacun des trois régimes, calculer : la Valeur Actuelle Probable (VAP),  la DBO</t>
    </r>
    <r>
      <rPr>
        <sz val="14"/>
        <color rgb="FF00008F"/>
        <rFont val="Calibri (Corps)"/>
      </rPr>
      <t xml:space="preserve">
Les hypothèses actuarielles retenues sont :</t>
    </r>
  </si>
  <si>
    <t>Valorisation au 31/12/2023 : calcul de la VAP et de la DBO d’un régime d’indemnités de fin de carrière</t>
  </si>
  <si>
    <t>On souhaite évaluer, selon les principes de la norme IAS 19, la valeur actuelle des engagements au 31/12/2023. Une indemnité est versée au salarié lors du départ à la retraite au sein de l’entreprise. Montant de l’indemnité : 4 mois de salaire.</t>
  </si>
  <si>
    <t>Hypothèses actuarielles</t>
  </si>
  <si>
    <t>Âge de départ à la retraite</t>
  </si>
  <si>
    <t>Turnover / mortalité</t>
  </si>
  <si>
    <t>par an</t>
  </si>
  <si>
    <t>Probabilité annuelle de sortie</t>
  </si>
  <si>
    <t>Taux d’évolution du salaire</t>
  </si>
  <si>
    <t>Taux de charges sociales</t>
  </si>
  <si>
    <t>r</t>
  </si>
  <si>
    <t>Charges patronales incluses</t>
  </si>
  <si>
    <t>Effectif de l'entreprise au 31/12/2023</t>
  </si>
  <si>
    <t>Individu</t>
  </si>
  <si>
    <t>Salaire annuel (€)</t>
  </si>
  <si>
    <t xml:space="preserve">Questions </t>
  </si>
  <si>
    <t>1. Calculez le salaire projeté à la retraite pour chaque salarié.</t>
  </si>
  <si>
    <t>2. Calculez le montant d’IFC non probable (4/12 du salaire au terme × (1 + r)).</t>
  </si>
  <si>
    <t>3. Calculez le montant d’IFC probable en tenant compte du turnover.</t>
  </si>
  <si>
    <t>4. Calculez la Valeur Actuelle Probable (VAP).</t>
  </si>
  <si>
    <t>5. Déterminez la DBO (pro rata temporis) et les droits de l’année.</t>
  </si>
  <si>
    <t>6. Totalisez les montants de l’entreprise au 31/12/2023.</t>
  </si>
  <si>
    <t>IFC non probable</t>
  </si>
  <si>
    <t>IFC probable</t>
  </si>
  <si>
    <t>Ancienneté actuelle</t>
  </si>
  <si>
    <t>Ancienneté totale</t>
  </si>
  <si>
    <t>Droits de l’année</t>
  </si>
  <si>
    <t>Module 4– Régime d’IFC/IDR (IAS 19)</t>
  </si>
  <si>
    <t>Évolution des engagements en supposant les mêmes hypothèses actuarielles</t>
  </si>
  <si>
    <t>Les hypothèses actuarielles restent identiques à celles de l’exercice précédent. Les trois salariés sont toujours présents au 31/12/2024. Les salaires au 31/12/2024 sont respectivement 37 000 €, 47 000 € et 105 000 €.</t>
  </si>
  <si>
    <t>Nouvel effectif au 31/12/2024</t>
  </si>
  <si>
    <t>Hypothèses actuarielles (rappel)</t>
  </si>
  <si>
    <t>1. Calculez les nouveaux engagements au 31/12/2024 (VAP, DBO, droits 2024).</t>
  </si>
  <si>
    <t>2. Déterminez la charge d’intérêt 2024 : = DBO 2023 × Taux d’actualisation.</t>
  </si>
  <si>
    <t>3. Calculez l’engagement projeté au 31/12/2024 : DBO 2023 + Droits 2024 + Intérêts 2024.</t>
  </si>
  <si>
    <t>4. Comparez à l’engagement réel au 31/12/2024.</t>
  </si>
  <si>
    <t>5. Déduisez les écarts actuariels (pertes ou gains).</t>
  </si>
  <si>
    <t>Droits de l’année 2024</t>
  </si>
  <si>
    <t>Charge d’intérêt 2024</t>
  </si>
  <si>
    <t>Engagement projeté 31/12/2024</t>
  </si>
  <si>
    <t>Engagement réel 31/12/2024</t>
  </si>
  <si>
    <t>Écart actuariel (perte/gain)</t>
  </si>
  <si>
    <t>Droits de l’année 2025</t>
  </si>
  <si>
    <t>Charge d’intérêt 2025</t>
  </si>
  <si>
    <t>Engagement projeté 31/12/2025</t>
  </si>
  <si>
    <t>Questions</t>
  </si>
  <si>
    <t xml:space="preserve"> Calculs détaillés</t>
  </si>
  <si>
    <t>Calculs détaillés/ Traitement comptable 2024</t>
  </si>
  <si>
    <t>Projection des engagements au 31/12/2024 (IFC/IDR)</t>
  </si>
  <si>
    <t>IFC_ IAS 19</t>
  </si>
  <si>
    <t>traitement comptable IAS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</si>
</sst>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 &quot;€&quot;"/>
    <numFmt numFmtId="167" formatCode="0.0%"/>
  </numFmts>
  <fonts count="31" x14ac:knownFonts="1">
    <font>
      <sz val="11"/>
      <color theme="1"/>
      <name val="Calibri"/>
      <family val="2"/>
      <scheme val="minor"/>
    </font>
    <font>
      <b/>
      <sz val="14"/>
      <color rgb="FFFFFFFF"/>
      <name val="Calibri"/>
      <family val="2"/>
    </font>
    <font>
      <b/>
      <sz val="10"/>
      <color rgb="FF00008F"/>
      <name val="Calibri"/>
      <family val="2"/>
    </font>
    <font>
      <b/>
      <sz val="11"/>
      <color rgb="FFFFFFFF"/>
      <name val="Calibri"/>
      <family val="2"/>
    </font>
    <font>
      <sz val="10"/>
      <color rgb="FF00008F"/>
      <name val="Calibri"/>
      <family val="2"/>
    </font>
    <font>
      <sz val="12"/>
      <color theme="10"/>
      <name val="Calibri"/>
      <family val="2"/>
      <scheme val="minor"/>
    </font>
    <font>
      <sz val="11"/>
      <color theme="1"/>
      <name val="Calibri"/>
      <family val="2"/>
      <scheme val="minor"/>
    </font>
    <font>
      <b/>
      <sz val="11"/>
      <color theme="1"/>
      <name val="Calibri"/>
      <family val="2"/>
      <scheme val="minor"/>
    </font>
    <font>
      <b/>
      <sz val="14"/>
      <color rgb="FF00008F"/>
      <name val="Calibri (Corps)"/>
    </font>
    <font>
      <b/>
      <sz val="14"/>
      <color theme="1"/>
      <name val="Calibri (Corps)"/>
    </font>
    <font>
      <b/>
      <sz val="14"/>
      <color rgb="FFFFFFFF"/>
      <name val="Calibri (Corps)"/>
    </font>
    <font>
      <sz val="14"/>
      <color theme="1"/>
      <name val="Calibri (Corps)"/>
    </font>
    <font>
      <sz val="14"/>
      <color rgb="FF00008F"/>
      <name val="Calibri (Corps)"/>
    </font>
    <font>
      <b/>
      <sz val="16"/>
      <color rgb="FFFFFFFF"/>
      <name val="Calibri (Corps)"/>
    </font>
    <font>
      <sz val="16"/>
      <color theme="1"/>
      <name val="Calibri (Corps)"/>
    </font>
    <font>
      <sz val="14"/>
      <color theme="1"/>
      <name val="Calibri"/>
      <family val="2"/>
      <scheme val="minor"/>
    </font>
    <font>
      <b/>
      <i/>
      <sz val="14"/>
      <color rgb="FF00008B"/>
      <name val="Calibri (Corps)"/>
    </font>
    <font>
      <b/>
      <sz val="14"/>
      <color rgb="FF00008B"/>
      <name val="Calibri (Corps)"/>
    </font>
    <font>
      <b/>
      <sz val="14"/>
      <color rgb="FF00008B"/>
      <name val="Calibri"/>
      <family val="2"/>
    </font>
    <font>
      <sz val="14"/>
      <color rgb="FF00008B"/>
      <name val="Calibri"/>
      <family val="2"/>
      <scheme val="minor"/>
    </font>
    <font>
      <sz val="14"/>
      <color rgb="FF00008B"/>
      <name val="Calibri (Corps)"/>
    </font>
    <font>
      <b/>
      <sz val="14"/>
      <color theme="0"/>
      <name val="Calibri"/>
      <family val="2"/>
      <scheme val="minor"/>
    </font>
    <font>
      <sz val="11"/>
      <color rgb="FF00008B"/>
      <name val="Calibri (Corps)"/>
    </font>
    <font>
      <b/>
      <sz val="16"/>
      <color rgb="FFFFFFFF"/>
      <name val="Calibri"/>
      <family val="2"/>
      <scheme val="minor"/>
    </font>
    <font>
      <sz val="16"/>
      <color theme="1"/>
      <name val="Calibri"/>
      <family val="2"/>
      <scheme val="minor"/>
    </font>
    <font>
      <i/>
      <sz val="14"/>
      <color rgb="FF002060"/>
      <name val="Calibri (Corps)"/>
    </font>
    <font>
      <sz val="14"/>
      <color rgb="FF002060"/>
      <name val="Calibri (Corps)"/>
    </font>
    <font>
      <b/>
      <sz val="14"/>
      <color rgb="FF002060"/>
      <name val="Calibri (Corps)"/>
    </font>
    <font>
      <b/>
      <sz val="14"/>
      <color rgb="FF00008B"/>
      <name val="Calibri"/>
      <family val="2"/>
      <scheme val="minor"/>
    </font>
    <font>
      <sz val="14"/>
      <color theme="0"/>
      <name val="Calibri"/>
      <family val="2"/>
      <scheme val="minor"/>
    </font>
    <font>
      <sz val="8"/>
      <name val="Calibri"/>
      <family val="2"/>
      <scheme val="minor"/>
    </font>
  </fonts>
  <fills count="8">
    <fill>
      <patternFill patternType="none"/>
    </fill>
    <fill>
      <patternFill patternType="gray125"/>
    </fill>
    <fill>
      <patternFill patternType="solid">
        <fgColor rgb="FF00008F"/>
      </patternFill>
    </fill>
    <fill>
      <patternFill patternType="solid">
        <fgColor rgb="FFF2F2F2"/>
      </patternFill>
    </fill>
    <fill>
      <patternFill patternType="solid">
        <fgColor rgb="FF00008B"/>
        <bgColor indexed="64"/>
      </patternFill>
    </fill>
    <fill>
      <patternFill patternType="solid">
        <fgColor rgb="FFC9D2E0"/>
      </patternFill>
    </fill>
    <fill>
      <patternFill patternType="solid">
        <fgColor rgb="FFE7E6E6"/>
      </patternFill>
    </fill>
    <fill>
      <patternFill patternType="solid">
        <fgColor rgb="FFE7E6E6"/>
        <bgColor indexed="64"/>
      </patternFill>
    </fill>
  </fills>
  <borders count="7">
    <border>
      <left/>
      <right/>
      <top/>
      <bottom/>
      <diagonal/>
    </border>
    <border>
      <left style="thin">
        <color rgb="FF00008F"/>
      </left>
      <right style="thin">
        <color rgb="FF00008F"/>
      </right>
      <top style="thin">
        <color rgb="FF00008F"/>
      </top>
      <bottom style="thin">
        <color rgb="FF00008F"/>
      </bottom>
      <diagonal/>
    </border>
    <border>
      <left style="thin">
        <color rgb="FFBFBFBF"/>
      </left>
      <right style="thin">
        <color rgb="FFBFBFBF"/>
      </right>
      <top style="thin">
        <color rgb="FFBFBFBF"/>
      </top>
      <bottom style="thin">
        <color rgb="FFBFBFBF"/>
      </bottom>
      <diagonal/>
    </border>
    <border>
      <left style="thin">
        <color rgb="FF00008B"/>
      </left>
      <right style="thin">
        <color rgb="FF00008B"/>
      </right>
      <top style="thin">
        <color rgb="FF00008B"/>
      </top>
      <bottom style="thin">
        <color rgb="FF00008B"/>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s>
  <cellStyleXfs count="3">
    <xf numFmtId="0" fontId="0" fillId="0" borderId="0"/>
    <xf numFmtId="0" fontId="5" fillId="0" borderId="0"/>
    <xf numFmtId="9" fontId="6" fillId="0" borderId="0" applyFont="0" applyFill="0" applyBorder="0" applyAlignment="0" applyProtection="0"/>
  </cellStyleXfs>
  <cellXfs count="95">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1" applyFont="1" applyBorder="1" applyAlignment="1">
      <alignment horizontal="left" vertical="center"/>
    </xf>
    <xf numFmtId="0" fontId="7" fillId="0" borderId="0" xfId="0" applyFont="1"/>
    <xf numFmtId="0" fontId="9" fillId="0" borderId="0" xfId="0" applyFont="1"/>
    <xf numFmtId="0" fontId="11" fillId="0" borderId="0" xfId="0" applyFont="1"/>
    <xf numFmtId="0" fontId="8" fillId="0" borderId="0" xfId="0" applyFont="1"/>
    <xf numFmtId="0" fontId="10" fillId="2" borderId="1" xfId="0" applyFont="1" applyFill="1" applyBorder="1" applyAlignment="1">
      <alignment horizontal="center" vertical="center"/>
    </xf>
    <xf numFmtId="0" fontId="12" fillId="0" borderId="1" xfId="0" applyFont="1" applyBorder="1" applyAlignment="1">
      <alignment horizontal="left"/>
    </xf>
    <xf numFmtId="4" fontId="12" fillId="0" borderId="1" xfId="0" applyNumberFormat="1" applyFont="1" applyBorder="1" applyAlignment="1">
      <alignment horizontal="left"/>
    </xf>
    <xf numFmtId="0" fontId="10" fillId="2" borderId="1" xfId="0" applyFont="1" applyFill="1" applyBorder="1" applyAlignment="1">
      <alignment horizontal="center"/>
    </xf>
    <xf numFmtId="165" fontId="12" fillId="0" borderId="1" xfId="0" applyNumberFormat="1" applyFont="1" applyBorder="1" applyAlignment="1">
      <alignment horizontal="left"/>
    </xf>
    <xf numFmtId="166" fontId="8" fillId="0" borderId="1" xfId="0" applyNumberFormat="1" applyFont="1" applyBorder="1" applyAlignment="1">
      <alignment horizontal="right"/>
    </xf>
    <xf numFmtId="0" fontId="12" fillId="0" borderId="1" xfId="0" quotePrefix="1" applyFont="1" applyBorder="1" applyAlignment="1">
      <alignment horizontal="left"/>
    </xf>
    <xf numFmtId="4" fontId="12" fillId="0" borderId="1" xfId="0" quotePrefix="1" applyNumberFormat="1" applyFont="1" applyBorder="1" applyAlignment="1">
      <alignment horizontal="left"/>
    </xf>
    <xf numFmtId="164" fontId="12" fillId="0" borderId="1" xfId="0" applyNumberFormat="1" applyFont="1" applyBorder="1" applyAlignment="1">
      <alignment horizontal="left"/>
    </xf>
    <xf numFmtId="164" fontId="8" fillId="0" borderId="1" xfId="0" applyNumberFormat="1" applyFont="1" applyBorder="1"/>
    <xf numFmtId="9" fontId="12" fillId="0" borderId="1" xfId="2" applyFont="1" applyBorder="1" applyAlignment="1">
      <alignment horizontal="left"/>
    </xf>
    <xf numFmtId="167" fontId="12" fillId="0" borderId="1" xfId="2" applyNumberFormat="1" applyFont="1" applyBorder="1" applyAlignment="1">
      <alignment horizontal="left"/>
    </xf>
    <xf numFmtId="3" fontId="12" fillId="0" borderId="1" xfId="0" applyNumberFormat="1" applyFont="1" applyBorder="1" applyAlignment="1">
      <alignment horizontal="left"/>
    </xf>
    <xf numFmtId="0" fontId="8" fillId="0" borderId="0" xfId="0" applyFont="1" applyAlignment="1">
      <alignment horizontal="left"/>
    </xf>
    <xf numFmtId="0" fontId="19" fillId="0" borderId="0" xfId="0" applyFont="1"/>
    <xf numFmtId="0" fontId="1" fillId="4" borderId="3" xfId="0" applyFont="1" applyFill="1" applyBorder="1" applyAlignment="1">
      <alignment horizontal="center" vertical="center"/>
    </xf>
    <xf numFmtId="0" fontId="15" fillId="0" borderId="0" xfId="0" applyFont="1"/>
    <xf numFmtId="0" fontId="20" fillId="0" borderId="3" xfId="0" applyFont="1" applyBorder="1" applyAlignment="1">
      <alignment horizontal="left" vertical="center"/>
    </xf>
    <xf numFmtId="0" fontId="17" fillId="0" borderId="3" xfId="0" applyFont="1" applyBorder="1" applyAlignment="1">
      <alignment horizontal="left" vertical="center"/>
    </xf>
    <xf numFmtId="10" fontId="17" fillId="0" borderId="3" xfId="0" applyNumberFormat="1" applyFont="1" applyBorder="1" applyAlignment="1">
      <alignment horizontal="left" vertical="center"/>
    </xf>
    <xf numFmtId="0" fontId="21" fillId="4" borderId="3" xfId="0" applyFont="1" applyFill="1" applyBorder="1" applyAlignment="1">
      <alignment horizontal="center" vertical="center"/>
    </xf>
    <xf numFmtId="0" fontId="20" fillId="0" borderId="3" xfId="0" applyFont="1" applyBorder="1" applyAlignment="1">
      <alignment horizontal="center" vertical="center"/>
    </xf>
    <xf numFmtId="3" fontId="20" fillId="0" borderId="3" xfId="0" applyNumberFormat="1" applyFont="1" applyBorder="1" applyAlignment="1">
      <alignment horizontal="center" vertical="center"/>
    </xf>
    <xf numFmtId="0" fontId="17" fillId="6" borderId="3" xfId="0" applyFont="1" applyFill="1" applyBorder="1"/>
    <xf numFmtId="0" fontId="20" fillId="0" borderId="3" xfId="0" applyFont="1" applyBorder="1"/>
    <xf numFmtId="3" fontId="17" fillId="6" borderId="3" xfId="0" applyNumberFormat="1" applyFont="1" applyFill="1" applyBorder="1"/>
    <xf numFmtId="0" fontId="20" fillId="0" borderId="0" xfId="0" applyFont="1"/>
    <xf numFmtId="0" fontId="20" fillId="7" borderId="0" xfId="0" applyFont="1" applyFill="1"/>
    <xf numFmtId="0" fontId="20" fillId="7" borderId="0" xfId="0" applyFont="1" applyFill="1" applyAlignment="1">
      <alignment horizontal="left" vertical="center"/>
    </xf>
    <xf numFmtId="3" fontId="17" fillId="0" borderId="3" xfId="0" applyNumberFormat="1" applyFont="1" applyBorder="1" applyAlignment="1">
      <alignment horizontal="center" vertical="center"/>
    </xf>
    <xf numFmtId="0" fontId="17" fillId="6" borderId="3" xfId="0" applyFont="1" applyFill="1" applyBorder="1" applyAlignment="1">
      <alignment horizontal="center" vertical="center"/>
    </xf>
    <xf numFmtId="0" fontId="20" fillId="0" borderId="4" xfId="0" applyFont="1" applyBorder="1"/>
    <xf numFmtId="0" fontId="20" fillId="0" borderId="5" xfId="0" applyFont="1" applyBorder="1"/>
    <xf numFmtId="0" fontId="20" fillId="0" borderId="6" xfId="0" applyFont="1" applyBorder="1"/>
    <xf numFmtId="0" fontId="22" fillId="0" borderId="0" xfId="0" applyFont="1"/>
    <xf numFmtId="0" fontId="28" fillId="0" borderId="3" xfId="0" applyFont="1" applyBorder="1" applyAlignment="1">
      <alignment horizontal="left" vertical="center"/>
    </xf>
    <xf numFmtId="3" fontId="19" fillId="0" borderId="3" xfId="0" applyNumberFormat="1" applyFont="1" applyBorder="1" applyAlignment="1">
      <alignment horizontal="right" vertical="center"/>
    </xf>
    <xf numFmtId="0" fontId="19" fillId="0" borderId="3" xfId="0" applyFont="1" applyBorder="1"/>
    <xf numFmtId="0" fontId="10" fillId="4" borderId="3" xfId="0" applyFont="1" applyFill="1" applyBorder="1" applyAlignment="1">
      <alignment horizontal="center" vertical="center"/>
    </xf>
    <xf numFmtId="0" fontId="19" fillId="0" borderId="3" xfId="0" applyFont="1" applyBorder="1" applyAlignment="1">
      <alignment horizontal="center" vertical="center"/>
    </xf>
    <xf numFmtId="3" fontId="28" fillId="0" borderId="3" xfId="0" applyNumberFormat="1" applyFont="1" applyBorder="1" applyAlignment="1">
      <alignment horizontal="center" vertical="center"/>
    </xf>
    <xf numFmtId="0" fontId="28" fillId="6" borderId="3" xfId="0" applyFont="1" applyFill="1" applyBorder="1" applyAlignment="1">
      <alignment horizontal="center" vertical="center"/>
    </xf>
    <xf numFmtId="0" fontId="19" fillId="0" borderId="3" xfId="0" applyFont="1" applyBorder="1" applyAlignment="1">
      <alignment horizontal="left" vertical="center"/>
    </xf>
    <xf numFmtId="3" fontId="19" fillId="0" borderId="3" xfId="0" applyNumberFormat="1" applyFont="1" applyBorder="1" applyAlignment="1">
      <alignment horizontal="center" vertical="center"/>
    </xf>
    <xf numFmtId="0" fontId="28" fillId="6" borderId="3" xfId="0" applyFont="1" applyFill="1" applyBorder="1"/>
    <xf numFmtId="3" fontId="28" fillId="6" borderId="3" xfId="0" applyNumberFormat="1" applyFont="1" applyFill="1" applyBorder="1"/>
    <xf numFmtId="0" fontId="19" fillId="7" borderId="0" xfId="0" applyFont="1" applyFill="1"/>
    <xf numFmtId="0" fontId="19" fillId="7" borderId="0" xfId="0" applyFont="1" applyFill="1" applyAlignment="1">
      <alignment horizontal="left" vertical="center"/>
    </xf>
    <xf numFmtId="166" fontId="28" fillId="0" borderId="3" xfId="0" applyNumberFormat="1" applyFont="1" applyBorder="1" applyAlignment="1">
      <alignment horizontal="center" vertical="center"/>
    </xf>
    <xf numFmtId="166" fontId="28" fillId="6" borderId="3" xfId="0" applyNumberFormat="1" applyFont="1" applyFill="1" applyBorder="1" applyAlignment="1">
      <alignment horizontal="center" vertical="center"/>
    </xf>
    <xf numFmtId="166" fontId="17" fillId="0" borderId="3" xfId="0" applyNumberFormat="1" applyFont="1" applyBorder="1" applyAlignment="1">
      <alignment horizontal="center" vertical="center"/>
    </xf>
    <xf numFmtId="166" fontId="17" fillId="6" borderId="3" xfId="0" applyNumberFormat="1" applyFont="1" applyFill="1" applyBorder="1" applyAlignment="1">
      <alignment horizontal="center" vertical="center"/>
    </xf>
    <xf numFmtId="166" fontId="28" fillId="0" borderId="3" xfId="0" applyNumberFormat="1" applyFont="1" applyBorder="1" applyAlignment="1">
      <alignment horizontal="center"/>
    </xf>
    <xf numFmtId="9" fontId="28" fillId="0" borderId="3" xfId="2" applyFont="1" applyBorder="1" applyAlignment="1">
      <alignment horizontal="left" vertical="center"/>
    </xf>
    <xf numFmtId="166" fontId="1" fillId="4" borderId="3" xfId="0" applyNumberFormat="1" applyFont="1" applyFill="1" applyBorder="1" applyAlignment="1">
      <alignment horizontal="center" vertical="center"/>
    </xf>
    <xf numFmtId="0" fontId="2" fillId="0" borderId="0" xfId="0" applyFont="1" applyAlignment="1">
      <alignment horizontal="left"/>
    </xf>
    <xf numFmtId="0" fontId="0" fillId="0" borderId="0" xfId="0"/>
    <xf numFmtId="0" fontId="1" fillId="2" borderId="0" xfId="0" applyFont="1" applyFill="1" applyAlignment="1">
      <alignment horizontal="center" vertical="center"/>
    </xf>
    <xf numFmtId="0" fontId="8" fillId="3" borderId="0" xfId="0" applyFont="1" applyFill="1" applyAlignment="1">
      <alignment horizontal="left"/>
    </xf>
    <xf numFmtId="0" fontId="9" fillId="0" borderId="0" xfId="0" applyFont="1"/>
    <xf numFmtId="0" fontId="10" fillId="2" borderId="0" xfId="0" applyFont="1" applyFill="1" applyAlignment="1">
      <alignment horizontal="center"/>
    </xf>
    <xf numFmtId="0" fontId="11" fillId="0" borderId="0" xfId="0" applyFont="1"/>
    <xf numFmtId="0" fontId="12" fillId="3" borderId="0" xfId="0" applyFont="1" applyFill="1" applyAlignment="1">
      <alignment horizontal="left" wrapText="1"/>
    </xf>
    <xf numFmtId="0" fontId="1" fillId="2" borderId="0" xfId="0" applyFont="1" applyFill="1" applyAlignment="1">
      <alignment horizontal="center"/>
    </xf>
    <xf numFmtId="0" fontId="17" fillId="6" borderId="0" xfId="0" applyFont="1" applyFill="1" applyAlignment="1">
      <alignment horizontal="left" vertical="center"/>
    </xf>
    <xf numFmtId="0" fontId="20" fillId="0" borderId="0" xfId="0" applyFont="1"/>
    <xf numFmtId="0" fontId="13" fillId="4" borderId="0" xfId="0" applyFont="1" applyFill="1" applyAlignment="1">
      <alignment horizontal="center" vertical="center"/>
    </xf>
    <xf numFmtId="0" fontId="14" fillId="4" borderId="0" xfId="0" applyFont="1" applyFill="1"/>
    <xf numFmtId="0" fontId="16" fillId="5" borderId="0" xfId="0" applyFont="1" applyFill="1" applyAlignment="1">
      <alignment horizontal="left" vertical="center"/>
    </xf>
    <xf numFmtId="0" fontId="17" fillId="0" borderId="0" xfId="0" applyFont="1"/>
    <xf numFmtId="0" fontId="17" fillId="6" borderId="2" xfId="0" applyFont="1" applyFill="1" applyBorder="1" applyAlignment="1">
      <alignment horizontal="left" vertical="top" wrapText="1"/>
    </xf>
    <xf numFmtId="0" fontId="17" fillId="0" borderId="2" xfId="0" applyFont="1" applyBorder="1"/>
    <xf numFmtId="0" fontId="18" fillId="6" borderId="0" xfId="0" applyFont="1" applyFill="1" applyAlignment="1">
      <alignment horizontal="left" vertical="center"/>
    </xf>
    <xf numFmtId="0" fontId="19" fillId="0" borderId="0" xfId="0" applyFont="1"/>
    <xf numFmtId="0" fontId="17" fillId="7" borderId="0" xfId="0" applyFont="1" applyFill="1" applyAlignment="1">
      <alignment horizontal="left" vertical="center"/>
    </xf>
    <xf numFmtId="0" fontId="20" fillId="7" borderId="0" xfId="0" applyFont="1" applyFill="1"/>
    <xf numFmtId="0" fontId="27" fillId="6" borderId="0" xfId="0" applyFont="1" applyFill="1" applyAlignment="1">
      <alignment horizontal="left" vertical="center"/>
    </xf>
    <xf numFmtId="0" fontId="21" fillId="4" borderId="0" xfId="0" applyFont="1" applyFill="1" applyAlignment="1">
      <alignment horizontal="left" vertical="center"/>
    </xf>
    <xf numFmtId="0" fontId="29" fillId="4" borderId="0" xfId="0" applyFont="1" applyFill="1"/>
    <xf numFmtId="0" fontId="23" fillId="4" borderId="0" xfId="0" applyFont="1" applyFill="1" applyAlignment="1">
      <alignment horizontal="center" vertical="center"/>
    </xf>
    <xf numFmtId="0" fontId="24" fillId="4" borderId="0" xfId="0" applyFont="1" applyFill="1"/>
    <xf numFmtId="0" fontId="25" fillId="5" borderId="0" xfId="0" applyFont="1" applyFill="1" applyAlignment="1">
      <alignment horizontal="left" vertical="center"/>
    </xf>
    <xf numFmtId="0" fontId="26" fillId="6" borderId="2" xfId="0" applyFont="1" applyFill="1" applyBorder="1" applyAlignment="1">
      <alignment horizontal="left" vertical="top" wrapText="1"/>
    </xf>
    <xf numFmtId="0" fontId="11" fillId="0" borderId="2" xfId="0" applyFont="1" applyBorder="1"/>
    <xf numFmtId="0" fontId="28" fillId="6" borderId="0" xfId="0" applyFont="1" applyFill="1" applyAlignment="1">
      <alignment horizontal="left" vertical="center"/>
    </xf>
    <xf numFmtId="0" fontId="28" fillId="7" borderId="0" xfId="0" applyFont="1" applyFill="1" applyAlignment="1">
      <alignment horizontal="left" vertical="center"/>
    </xf>
    <xf numFmtId="0" fontId="19" fillId="7" borderId="0" xfId="0" applyFont="1" applyFill="1"/>
  </cellXfs>
  <cellStyles count="3">
    <cellStyle name="Lien hypertexte" xfId="1" builtinId="8"/>
    <cellStyle name="Normal" xfId="0" builtinId="0"/>
    <cellStyle name="Pourcentage" xfId="2" builtinId="5"/>
  </cellStyles>
  <dxfs count="0"/>
  <tableStyles count="0" defaultTableStyle="TableStyleMedium9" defaultPivotStyle="PivotStyleLight16"/>
  <colors>
    <mruColors>
      <color rgb="FF00008B"/>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auldakpogan/Downloads/IFC_IFR_Formation.xlsx" TargetMode="External"/><Relationship Id="rId1" Type="http://schemas.openxmlformats.org/officeDocument/2006/relationships/externalLinkPath" Target="IFC_IFR_Form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ercice_1"/>
      <sheetName val="Exercice_2"/>
    </sheetNames>
    <sheetDataSet>
      <sheetData sheetId="0">
        <row r="8">
          <cell r="C8">
            <v>64</v>
          </cell>
        </row>
        <row r="9">
          <cell r="C9">
            <v>0.05</v>
          </cell>
        </row>
        <row r="10">
          <cell r="C10">
            <v>0.02</v>
          </cell>
        </row>
        <row r="11">
          <cell r="C11">
            <v>0.45</v>
          </cell>
        </row>
        <row r="12">
          <cell r="C12">
            <v>0.03</v>
          </cell>
        </row>
        <row r="34">
          <cell r="H34">
            <v>22032.769762630796</v>
          </cell>
          <cell r="I34">
            <v>1007.5279848770668</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E40" sqref="E40"/>
    </sheetView>
  </sheetViews>
  <sheetFormatPr baseColWidth="10" defaultColWidth="8.83203125" defaultRowHeight="15" x14ac:dyDescent="0.2"/>
  <cols>
    <col min="1" max="1" width="5" customWidth="1"/>
    <col min="2" max="2" width="20.33203125" bestFit="1" customWidth="1"/>
    <col min="3" max="3" width="40" customWidth="1"/>
    <col min="4" max="4" width="50" customWidth="1"/>
    <col min="5" max="5" width="30" customWidth="1"/>
  </cols>
  <sheetData>
    <row r="1" spans="1:5" ht="19" x14ac:dyDescent="0.2">
      <c r="A1" s="65" t="s">
        <v>0</v>
      </c>
      <c r="B1" s="64"/>
      <c r="C1" s="64"/>
      <c r="D1" s="64"/>
      <c r="E1" s="64"/>
    </row>
    <row r="2" spans="1:5" x14ac:dyDescent="0.2">
      <c r="A2" s="63" t="s">
        <v>1</v>
      </c>
      <c r="B2" s="64"/>
      <c r="C2" s="64"/>
      <c r="D2" s="64"/>
      <c r="E2" s="64"/>
    </row>
    <row r="3" spans="1:5" x14ac:dyDescent="0.2">
      <c r="A3" s="1" t="s">
        <v>2</v>
      </c>
      <c r="B3" s="1" t="s">
        <v>3</v>
      </c>
      <c r="C3" s="1" t="s">
        <v>4</v>
      </c>
      <c r="D3" s="1" t="s">
        <v>5</v>
      </c>
      <c r="E3" s="1" t="s">
        <v>6</v>
      </c>
    </row>
    <row r="4" spans="1:5" x14ac:dyDescent="0.2">
      <c r="A4" s="2" t="s">
        <v>7</v>
      </c>
      <c r="B4" s="2" t="s">
        <v>8</v>
      </c>
      <c r="C4" s="2" t="s">
        <v>9</v>
      </c>
      <c r="D4" s="3" t="s">
        <v>10</v>
      </c>
      <c r="E4" s="2" t="s">
        <v>136</v>
      </c>
    </row>
    <row r="5" spans="1:5" x14ac:dyDescent="0.2">
      <c r="A5" s="2" t="s">
        <v>11</v>
      </c>
      <c r="B5" s="2" t="s">
        <v>12</v>
      </c>
      <c r="C5" s="2" t="s">
        <v>13</v>
      </c>
      <c r="D5" s="3" t="s">
        <v>10</v>
      </c>
      <c r="E5" s="2" t="s">
        <v>136</v>
      </c>
    </row>
    <row r="6" spans="1:5" x14ac:dyDescent="0.2">
      <c r="A6" s="2" t="s">
        <v>14</v>
      </c>
      <c r="B6" s="2" t="s">
        <v>15</v>
      </c>
      <c r="C6" s="2" t="s">
        <v>16</v>
      </c>
      <c r="D6" s="3" t="s">
        <v>10</v>
      </c>
      <c r="E6" s="2" t="s">
        <v>136</v>
      </c>
    </row>
    <row r="7" spans="1:5" x14ac:dyDescent="0.2">
      <c r="A7" s="2" t="s">
        <v>17</v>
      </c>
      <c r="B7" s="2" t="s">
        <v>18</v>
      </c>
      <c r="C7" s="2" t="s">
        <v>19</v>
      </c>
      <c r="D7" s="3" t="s">
        <v>10</v>
      </c>
      <c r="E7" s="2" t="s">
        <v>136</v>
      </c>
    </row>
    <row r="8" spans="1:5" x14ac:dyDescent="0.2">
      <c r="A8" s="2" t="s">
        <v>20</v>
      </c>
      <c r="B8" s="2" t="s">
        <v>194</v>
      </c>
      <c r="C8" s="2" t="s">
        <v>194</v>
      </c>
      <c r="D8" s="3" t="s">
        <v>10</v>
      </c>
      <c r="E8" s="2" t="s">
        <v>136</v>
      </c>
    </row>
    <row r="9" spans="1:5" x14ac:dyDescent="0.2">
      <c r="A9" s="2" t="s">
        <v>21</v>
      </c>
      <c r="B9" s="2" t="s">
        <v>195</v>
      </c>
      <c r="C9" s="2" t="s">
        <v>195</v>
      </c>
      <c r="D9" s="3" t="s">
        <v>10</v>
      </c>
      <c r="E9" s="2" t="s">
        <v>136</v>
      </c>
    </row>
  </sheetData>
  <mergeCells count="2">
    <mergeCell ref="A2:E2"/>
    <mergeCell ref="A1:E1"/>
  </mergeCells>
  <phoneticPr fontId="30" type="noConversion"/>
  <hyperlinks>
    <hyperlink ref="D4" location="'01_Intro'!A1" display="Ouvrir" xr:uid="{00000000-0004-0000-0000-000000000000}"/>
    <hyperlink ref="D5" location="'02_Alea'!A1" display="Ouvrir" xr:uid="{00000000-0004-0000-0000-000001000000}"/>
    <hyperlink ref="D6" location="'03_Certains'!A1" display="Ouvrir" xr:uid="{00000000-0004-0000-0000-000002000000}"/>
    <hyperlink ref="D7" location="'04_IAS19_Alea'!A1" display="Ouvrir" xr:uid="{00000000-0004-0000-0000-000003000000}"/>
    <hyperlink ref="D8" location="'05_Synthese'!A1" display="Ouvrir" xr:uid="{00000000-0004-0000-0000-000004000000}"/>
    <hyperlink ref="D9" location="'06_IFC_Base'!A1" display="Ouvrir"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D21" sqref="D21"/>
    </sheetView>
  </sheetViews>
  <sheetFormatPr baseColWidth="10" defaultColWidth="8.83203125" defaultRowHeight="15" x14ac:dyDescent="0.2"/>
  <cols>
    <col min="1" max="1" width="44.6640625" bestFit="1" customWidth="1"/>
    <col min="2" max="3" width="25" customWidth="1"/>
    <col min="4" max="4" width="35.5" bestFit="1" customWidth="1"/>
    <col min="5" max="6" width="25" customWidth="1"/>
  </cols>
  <sheetData>
    <row r="1" spans="1:6" ht="19" x14ac:dyDescent="0.25">
      <c r="A1" s="68" t="s">
        <v>22</v>
      </c>
      <c r="B1" s="69"/>
      <c r="C1" s="69"/>
      <c r="D1" s="69"/>
      <c r="E1" s="69"/>
      <c r="F1" s="69"/>
    </row>
    <row r="2" spans="1:6" s="5" customFormat="1" ht="19" x14ac:dyDescent="0.25">
      <c r="A2" s="66" t="s">
        <v>23</v>
      </c>
      <c r="B2" s="67"/>
      <c r="C2" s="67"/>
      <c r="D2" s="67"/>
      <c r="E2" s="67"/>
      <c r="F2" s="67"/>
    </row>
    <row r="5" spans="1:6" ht="19" x14ac:dyDescent="0.25">
      <c r="A5" s="7" t="s">
        <v>24</v>
      </c>
      <c r="B5" s="6"/>
      <c r="C5" s="6"/>
      <c r="D5" s="6"/>
    </row>
    <row r="6" spans="1:6" ht="19" x14ac:dyDescent="0.2">
      <c r="A6" s="8" t="s">
        <v>25</v>
      </c>
      <c r="B6" s="8" t="s">
        <v>26</v>
      </c>
      <c r="C6" s="8" t="s">
        <v>27</v>
      </c>
      <c r="D6" s="8" t="s">
        <v>28</v>
      </c>
    </row>
    <row r="7" spans="1:6" ht="19" x14ac:dyDescent="0.25">
      <c r="A7" s="9" t="s">
        <v>29</v>
      </c>
      <c r="B7" s="9" t="s">
        <v>30</v>
      </c>
      <c r="C7" s="9" t="s">
        <v>31</v>
      </c>
      <c r="D7" s="9"/>
    </row>
    <row r="8" spans="1:6" ht="19" x14ac:dyDescent="0.25">
      <c r="A8" s="9" t="s">
        <v>32</v>
      </c>
      <c r="B8" s="19">
        <v>2E-3</v>
      </c>
      <c r="C8" s="9" t="s">
        <v>31</v>
      </c>
      <c r="D8" s="9" t="s">
        <v>33</v>
      </c>
    </row>
    <row r="9" spans="1:6" ht="19" x14ac:dyDescent="0.25">
      <c r="A9" s="9" t="s">
        <v>34</v>
      </c>
      <c r="B9" s="20">
        <v>100000</v>
      </c>
      <c r="C9" s="9" t="s">
        <v>35</v>
      </c>
      <c r="D9" s="9" t="s">
        <v>36</v>
      </c>
    </row>
    <row r="10" spans="1:6" ht="19" x14ac:dyDescent="0.25">
      <c r="A10" s="9" t="s">
        <v>37</v>
      </c>
      <c r="B10" s="20">
        <v>180000</v>
      </c>
      <c r="C10" s="9" t="s">
        <v>35</v>
      </c>
      <c r="D10" s="9" t="s">
        <v>38</v>
      </c>
    </row>
    <row r="11" spans="1:6" ht="19" x14ac:dyDescent="0.25">
      <c r="A11" s="9" t="s">
        <v>39</v>
      </c>
      <c r="B11" s="20">
        <v>10</v>
      </c>
      <c r="C11" s="9" t="s">
        <v>40</v>
      </c>
      <c r="D11" s="9" t="s">
        <v>41</v>
      </c>
    </row>
    <row r="12" spans="1:6" ht="19" x14ac:dyDescent="0.25">
      <c r="A12" s="6"/>
      <c r="B12" s="6"/>
      <c r="C12" s="6"/>
      <c r="D12" s="6"/>
    </row>
    <row r="13" spans="1:6" ht="19" x14ac:dyDescent="0.25">
      <c r="A13" s="6"/>
      <c r="B13" s="6"/>
      <c r="C13" s="6"/>
      <c r="D13" s="6"/>
    </row>
    <row r="14" spans="1:6" ht="19" x14ac:dyDescent="0.25">
      <c r="A14" s="7" t="s">
        <v>42</v>
      </c>
      <c r="B14" s="6"/>
      <c r="C14" s="6"/>
      <c r="D14" s="6"/>
    </row>
    <row r="15" spans="1:6" ht="19" x14ac:dyDescent="0.2">
      <c r="A15" s="8" t="s">
        <v>43</v>
      </c>
      <c r="B15" s="8" t="s">
        <v>44</v>
      </c>
      <c r="C15" s="8" t="s">
        <v>45</v>
      </c>
      <c r="D15" s="8" t="s">
        <v>28</v>
      </c>
    </row>
    <row r="16" spans="1:6" ht="19" x14ac:dyDescent="0.25">
      <c r="A16" s="9" t="s">
        <v>46</v>
      </c>
      <c r="B16" s="9">
        <f>B8*B11*B9</f>
        <v>2000</v>
      </c>
      <c r="C16" s="13">
        <f>B8*B11*B9</f>
        <v>2000</v>
      </c>
      <c r="D16" s="9" t="s">
        <v>47</v>
      </c>
    </row>
    <row r="17" spans="1:4" ht="19" x14ac:dyDescent="0.25">
      <c r="A17" s="9" t="s">
        <v>48</v>
      </c>
      <c r="B17" s="9">
        <f>B8*B11*B10</f>
        <v>3600</v>
      </c>
      <c r="C17" s="13">
        <f>B8*B11*B10</f>
        <v>3600</v>
      </c>
      <c r="D17" s="9" t="s">
        <v>37</v>
      </c>
    </row>
    <row r="18" spans="1:4" ht="19" x14ac:dyDescent="0.25">
      <c r="A18" s="9" t="s">
        <v>49</v>
      </c>
      <c r="B18" s="9">
        <f>B8*B9</f>
        <v>200</v>
      </c>
      <c r="C18" s="13">
        <f>B8*B9</f>
        <v>200</v>
      </c>
      <c r="D18" s="9" t="s">
        <v>50</v>
      </c>
    </row>
    <row r="19" spans="1:4" ht="19" x14ac:dyDescent="0.25">
      <c r="A19" s="6"/>
      <c r="B19" s="6"/>
      <c r="C19" s="6"/>
      <c r="D19" s="6"/>
    </row>
    <row r="20" spans="1:4" ht="19" x14ac:dyDescent="0.25">
      <c r="A20" s="6"/>
      <c r="B20" s="6"/>
      <c r="C20" s="6"/>
      <c r="D20" s="6"/>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workbookViewId="0">
      <selection activeCell="B21" sqref="B21"/>
    </sheetView>
  </sheetViews>
  <sheetFormatPr baseColWidth="10" defaultColWidth="8.83203125" defaultRowHeight="15" x14ac:dyDescent="0.2"/>
  <cols>
    <col min="1" max="1" width="19.83203125" bestFit="1" customWidth="1"/>
    <col min="2" max="2" width="40.33203125" bestFit="1" customWidth="1"/>
    <col min="3" max="3" width="25" customWidth="1"/>
    <col min="4" max="4" width="38.6640625" bestFit="1" customWidth="1"/>
    <col min="5" max="6" width="25" customWidth="1"/>
  </cols>
  <sheetData>
    <row r="1" spans="1:6" ht="19" x14ac:dyDescent="0.25">
      <c r="A1" s="68" t="s">
        <v>51</v>
      </c>
      <c r="B1" s="69"/>
      <c r="C1" s="69"/>
      <c r="D1" s="69"/>
      <c r="E1" s="69"/>
      <c r="F1" s="69"/>
    </row>
    <row r="2" spans="1:6" s="4" customFormat="1" ht="19" x14ac:dyDescent="0.25">
      <c r="A2" s="66" t="s">
        <v>52</v>
      </c>
      <c r="B2" s="67"/>
      <c r="C2" s="67"/>
      <c r="D2" s="67"/>
      <c r="E2" s="67"/>
      <c r="F2" s="67"/>
    </row>
    <row r="3" spans="1:6" ht="19" x14ac:dyDescent="0.25">
      <c r="A3" s="6"/>
      <c r="B3" s="6"/>
      <c r="C3" s="6"/>
      <c r="D3" s="6"/>
      <c r="E3" s="6"/>
      <c r="F3" s="6"/>
    </row>
    <row r="4" spans="1:6" x14ac:dyDescent="0.2">
      <c r="A4" s="70" t="s">
        <v>53</v>
      </c>
      <c r="B4" s="69"/>
      <c r="C4" s="69"/>
      <c r="D4" s="69"/>
      <c r="E4" s="69"/>
      <c r="F4" s="69"/>
    </row>
    <row r="5" spans="1:6" x14ac:dyDescent="0.2">
      <c r="A5" s="69"/>
      <c r="B5" s="69"/>
      <c r="C5" s="69"/>
      <c r="D5" s="69"/>
      <c r="E5" s="69"/>
      <c r="F5" s="69"/>
    </row>
    <row r="6" spans="1:6" x14ac:dyDescent="0.2">
      <c r="A6" s="69"/>
      <c r="B6" s="69"/>
      <c r="C6" s="69"/>
      <c r="D6" s="69"/>
      <c r="E6" s="69"/>
      <c r="F6" s="69"/>
    </row>
    <row r="7" spans="1:6" ht="134" customHeight="1" x14ac:dyDescent="0.2">
      <c r="A7" s="69"/>
      <c r="B7" s="69"/>
      <c r="C7" s="69"/>
      <c r="D7" s="69"/>
      <c r="E7" s="69"/>
      <c r="F7" s="69"/>
    </row>
    <row r="8" spans="1:6" ht="19" x14ac:dyDescent="0.25">
      <c r="A8" s="6"/>
      <c r="B8" s="6"/>
      <c r="C8" s="6"/>
      <c r="D8" s="6"/>
      <c r="E8" s="6"/>
      <c r="F8" s="6"/>
    </row>
    <row r="9" spans="1:6" ht="19" x14ac:dyDescent="0.25">
      <c r="A9" s="6"/>
      <c r="B9" s="6"/>
      <c r="C9" s="6"/>
      <c r="D9" s="6"/>
      <c r="E9" s="6"/>
      <c r="F9" s="6"/>
    </row>
    <row r="10" spans="1:6" ht="19" x14ac:dyDescent="0.25">
      <c r="A10" s="11" t="s">
        <v>25</v>
      </c>
      <c r="B10" s="11" t="s">
        <v>26</v>
      </c>
      <c r="C10" s="11" t="s">
        <v>27</v>
      </c>
      <c r="D10" s="11" t="s">
        <v>28</v>
      </c>
      <c r="E10" s="6"/>
      <c r="F10" s="6"/>
    </row>
    <row r="11" spans="1:6" ht="19" x14ac:dyDescent="0.25">
      <c r="A11" s="9" t="s">
        <v>54</v>
      </c>
      <c r="B11" s="10">
        <v>45</v>
      </c>
      <c r="C11" s="9" t="s">
        <v>40</v>
      </c>
      <c r="D11" s="9" t="s">
        <v>55</v>
      </c>
      <c r="E11" s="6"/>
      <c r="F11" s="6"/>
    </row>
    <row r="12" spans="1:6" ht="19" x14ac:dyDescent="0.25">
      <c r="A12" s="9" t="s">
        <v>56</v>
      </c>
      <c r="B12" s="10">
        <v>65</v>
      </c>
      <c r="C12" s="9" t="s">
        <v>40</v>
      </c>
      <c r="D12" s="9" t="s">
        <v>57</v>
      </c>
      <c r="E12" s="6"/>
      <c r="F12" s="6"/>
    </row>
    <row r="13" spans="1:6" ht="19" x14ac:dyDescent="0.25">
      <c r="A13" s="9" t="s">
        <v>58</v>
      </c>
      <c r="B13" s="9">
        <f>B12-B11</f>
        <v>20</v>
      </c>
      <c r="C13" s="9" t="s">
        <v>40</v>
      </c>
      <c r="D13" s="9" t="s">
        <v>59</v>
      </c>
      <c r="E13" s="6"/>
      <c r="F13" s="6"/>
    </row>
    <row r="14" spans="1:6" ht="19" x14ac:dyDescent="0.25">
      <c r="A14" s="9" t="s">
        <v>39</v>
      </c>
      <c r="B14" s="10">
        <v>10</v>
      </c>
      <c r="C14" s="9" t="s">
        <v>40</v>
      </c>
      <c r="D14" s="9" t="s">
        <v>60</v>
      </c>
      <c r="E14" s="6"/>
      <c r="F14" s="6"/>
    </row>
    <row r="15" spans="1:6" ht="19" x14ac:dyDescent="0.25">
      <c r="A15" s="9" t="s">
        <v>34</v>
      </c>
      <c r="B15" s="10">
        <v>100000</v>
      </c>
      <c r="C15" s="9" t="s">
        <v>35</v>
      </c>
      <c r="D15" s="9" t="s">
        <v>36</v>
      </c>
      <c r="E15" s="6"/>
      <c r="F15" s="6"/>
    </row>
    <row r="16" spans="1:6" ht="19" x14ac:dyDescent="0.25">
      <c r="A16" s="9" t="s">
        <v>37</v>
      </c>
      <c r="B16" s="10">
        <v>180000</v>
      </c>
      <c r="C16" s="9" t="s">
        <v>35</v>
      </c>
      <c r="D16" s="9" t="s">
        <v>38</v>
      </c>
      <c r="E16" s="6"/>
      <c r="F16" s="6"/>
    </row>
    <row r="17" spans="1:6" ht="19" x14ac:dyDescent="0.25">
      <c r="A17" s="9" t="s">
        <v>32</v>
      </c>
      <c r="B17" s="12">
        <v>2E-3</v>
      </c>
      <c r="C17" s="9" t="s">
        <v>31</v>
      </c>
      <c r="D17" s="9" t="s">
        <v>61</v>
      </c>
      <c r="E17" s="6"/>
      <c r="F17" s="6"/>
    </row>
    <row r="18" spans="1:6" ht="19" x14ac:dyDescent="0.25">
      <c r="A18" s="6"/>
      <c r="B18" s="6"/>
      <c r="C18" s="6"/>
      <c r="D18" s="6"/>
      <c r="E18" s="6"/>
      <c r="F18" s="6"/>
    </row>
    <row r="19" spans="1:6" ht="19" x14ac:dyDescent="0.25">
      <c r="A19" s="7" t="s">
        <v>62</v>
      </c>
      <c r="B19" s="6"/>
      <c r="C19" s="6"/>
      <c r="D19" s="6"/>
      <c r="E19" s="6"/>
      <c r="F19" s="6"/>
    </row>
    <row r="20" spans="1:6" ht="19" x14ac:dyDescent="0.25">
      <c r="A20" s="8" t="s">
        <v>63</v>
      </c>
      <c r="B20" s="8" t="s">
        <v>139</v>
      </c>
      <c r="C20" s="8" t="s">
        <v>45</v>
      </c>
      <c r="D20" s="8" t="s">
        <v>64</v>
      </c>
      <c r="E20" s="6"/>
      <c r="F20" s="6"/>
    </row>
    <row r="21" spans="1:6" ht="19" x14ac:dyDescent="0.25">
      <c r="A21" s="9" t="s">
        <v>65</v>
      </c>
      <c r="B21" s="9" t="s">
        <v>137</v>
      </c>
      <c r="C21" s="13">
        <f>B17*B15*B14</f>
        <v>2000</v>
      </c>
      <c r="D21" s="9" t="s">
        <v>66</v>
      </c>
      <c r="E21" s="6"/>
      <c r="F21" s="6"/>
    </row>
    <row r="22" spans="1:6" ht="19" x14ac:dyDescent="0.25">
      <c r="A22" s="9" t="s">
        <v>67</v>
      </c>
      <c r="B22" s="9" t="s">
        <v>138</v>
      </c>
      <c r="C22" s="13">
        <f>B17*B16*B14</f>
        <v>3600</v>
      </c>
      <c r="D22" s="9" t="s">
        <v>68</v>
      </c>
      <c r="E22" s="6"/>
      <c r="F22" s="6"/>
    </row>
    <row r="23" spans="1:6" ht="19" x14ac:dyDescent="0.25">
      <c r="A23" s="9" t="s">
        <v>69</v>
      </c>
      <c r="B23" s="9">
        <f>C22-C21</f>
        <v>1600</v>
      </c>
      <c r="C23" s="13">
        <f>C22-C21</f>
        <v>1600</v>
      </c>
      <c r="D23" s="9" t="s">
        <v>70</v>
      </c>
      <c r="E23" s="6"/>
      <c r="F23" s="6"/>
    </row>
    <row r="24" spans="1:6" ht="19" x14ac:dyDescent="0.25">
      <c r="A24" s="6"/>
      <c r="B24" s="6"/>
      <c r="C24" s="6"/>
      <c r="D24" s="6"/>
      <c r="E24" s="6"/>
      <c r="F24" s="6"/>
    </row>
    <row r="25" spans="1:6" ht="19" x14ac:dyDescent="0.25">
      <c r="A25" s="6"/>
      <c r="B25" s="6"/>
      <c r="C25" s="6"/>
      <c r="D25" s="6"/>
      <c r="E25" s="6"/>
      <c r="F25" s="6"/>
    </row>
  </sheetData>
  <mergeCells count="3">
    <mergeCell ref="A4:F7"/>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zoomScale="88" zoomScaleNormal="120" workbookViewId="0">
      <selection activeCell="A4" sqref="A4:F7"/>
    </sheetView>
  </sheetViews>
  <sheetFormatPr baseColWidth="10" defaultColWidth="8.83203125" defaultRowHeight="15" x14ac:dyDescent="0.2"/>
  <cols>
    <col min="1" max="1" width="23.6640625" bestFit="1" customWidth="1"/>
    <col min="2" max="2" width="60.1640625" bestFit="1" customWidth="1"/>
    <col min="3" max="3" width="25" customWidth="1"/>
    <col min="4" max="4" width="31.1640625" bestFit="1" customWidth="1"/>
    <col min="5" max="6" width="25" customWidth="1"/>
  </cols>
  <sheetData>
    <row r="1" spans="1:6" ht="19" x14ac:dyDescent="0.25">
      <c r="A1" s="68" t="s">
        <v>71</v>
      </c>
      <c r="B1" s="69"/>
      <c r="C1" s="69"/>
      <c r="D1" s="69"/>
      <c r="E1" s="69"/>
      <c r="F1" s="69"/>
    </row>
    <row r="2" spans="1:6" ht="19" x14ac:dyDescent="0.25">
      <c r="A2" s="66" t="s">
        <v>72</v>
      </c>
      <c r="B2" s="67"/>
      <c r="C2" s="67"/>
      <c r="D2" s="67"/>
      <c r="E2" s="67"/>
      <c r="F2" s="67"/>
    </row>
    <row r="3" spans="1:6" ht="19" x14ac:dyDescent="0.25">
      <c r="A3" s="6"/>
      <c r="B3" s="6"/>
      <c r="C3" s="6"/>
      <c r="D3" s="6"/>
      <c r="E3" s="6"/>
      <c r="F3" s="6"/>
    </row>
    <row r="4" spans="1:6" x14ac:dyDescent="0.2">
      <c r="A4" s="70" t="s">
        <v>73</v>
      </c>
      <c r="B4" s="69"/>
      <c r="C4" s="69"/>
      <c r="D4" s="69"/>
      <c r="E4" s="69"/>
      <c r="F4" s="69"/>
    </row>
    <row r="5" spans="1:6" x14ac:dyDescent="0.2">
      <c r="A5" s="69"/>
      <c r="B5" s="69"/>
      <c r="C5" s="69"/>
      <c r="D5" s="69"/>
      <c r="E5" s="69"/>
      <c r="F5" s="69"/>
    </row>
    <row r="6" spans="1:6" x14ac:dyDescent="0.2">
      <c r="A6" s="69"/>
      <c r="B6" s="69"/>
      <c r="C6" s="69"/>
      <c r="D6" s="69"/>
      <c r="E6" s="69"/>
      <c r="F6" s="69"/>
    </row>
    <row r="7" spans="1:6" ht="147" customHeight="1" x14ac:dyDescent="0.2">
      <c r="A7" s="69"/>
      <c r="B7" s="69"/>
      <c r="C7" s="69"/>
      <c r="D7" s="69"/>
      <c r="E7" s="69"/>
      <c r="F7" s="69"/>
    </row>
    <row r="8" spans="1:6" ht="19" x14ac:dyDescent="0.25">
      <c r="A8" s="6"/>
      <c r="B8" s="6"/>
      <c r="C8" s="6"/>
      <c r="D8" s="6"/>
      <c r="E8" s="6"/>
      <c r="F8" s="6"/>
    </row>
    <row r="9" spans="1:6" ht="19" x14ac:dyDescent="0.25">
      <c r="A9" s="6"/>
      <c r="B9" s="6"/>
      <c r="C9" s="6"/>
      <c r="D9" s="6"/>
      <c r="E9" s="6"/>
      <c r="F9" s="6"/>
    </row>
    <row r="10" spans="1:6" ht="19" x14ac:dyDescent="0.25">
      <c r="A10" s="8" t="s">
        <v>25</v>
      </c>
      <c r="B10" s="8" t="s">
        <v>26</v>
      </c>
      <c r="C10" s="8" t="s">
        <v>27</v>
      </c>
      <c r="D10" s="8" t="s">
        <v>28</v>
      </c>
      <c r="E10" s="6"/>
      <c r="F10" s="6"/>
    </row>
    <row r="11" spans="1:6" ht="19" x14ac:dyDescent="0.25">
      <c r="A11" s="9" t="s">
        <v>74</v>
      </c>
      <c r="B11" s="10">
        <v>100000</v>
      </c>
      <c r="C11" s="9" t="s">
        <v>35</v>
      </c>
      <c r="D11" s="9" t="s">
        <v>75</v>
      </c>
      <c r="E11" s="6"/>
      <c r="F11" s="6"/>
    </row>
    <row r="12" spans="1:6" ht="19" x14ac:dyDescent="0.25">
      <c r="A12" s="9" t="s">
        <v>76</v>
      </c>
      <c r="B12" s="10">
        <v>0.05</v>
      </c>
      <c r="C12" s="9" t="s">
        <v>31</v>
      </c>
      <c r="D12" s="9" t="s">
        <v>77</v>
      </c>
      <c r="E12" s="6"/>
      <c r="F12" s="6"/>
    </row>
    <row r="13" spans="1:6" ht="19" x14ac:dyDescent="0.25">
      <c r="A13" s="9" t="s">
        <v>78</v>
      </c>
      <c r="B13" s="9">
        <f>B11*(1+B12)</f>
        <v>105000</v>
      </c>
      <c r="C13" s="9" t="s">
        <v>35</v>
      </c>
      <c r="D13" s="9" t="s">
        <v>79</v>
      </c>
      <c r="E13" s="6"/>
      <c r="F13" s="6"/>
    </row>
    <row r="14" spans="1:6" ht="19" x14ac:dyDescent="0.25">
      <c r="A14" s="9" t="s">
        <v>80</v>
      </c>
      <c r="B14" s="10">
        <v>0.03</v>
      </c>
      <c r="C14" s="9" t="s">
        <v>31</v>
      </c>
      <c r="D14" s="9" t="s">
        <v>81</v>
      </c>
      <c r="E14" s="6"/>
      <c r="F14" s="6"/>
    </row>
    <row r="15" spans="1:6" ht="19" x14ac:dyDescent="0.25">
      <c r="A15" s="9" t="s">
        <v>32</v>
      </c>
      <c r="B15" s="12">
        <v>2E-3</v>
      </c>
      <c r="C15" s="9" t="s">
        <v>31</v>
      </c>
      <c r="D15" s="9" t="s">
        <v>61</v>
      </c>
      <c r="E15" s="6"/>
      <c r="F15" s="6"/>
    </row>
    <row r="16" spans="1:6" ht="19" x14ac:dyDescent="0.25">
      <c r="A16" s="6"/>
      <c r="B16" s="6"/>
      <c r="C16" s="6"/>
      <c r="D16" s="6"/>
      <c r="E16" s="6"/>
      <c r="F16" s="6"/>
    </row>
    <row r="17" spans="1:6" ht="19" x14ac:dyDescent="0.25">
      <c r="A17" s="7" t="s">
        <v>62</v>
      </c>
      <c r="B17" s="6"/>
      <c r="C17" s="6"/>
      <c r="D17" s="6"/>
      <c r="E17" s="6"/>
      <c r="F17" s="6"/>
    </row>
    <row r="18" spans="1:6" ht="19" x14ac:dyDescent="0.25">
      <c r="A18" s="8" t="s">
        <v>82</v>
      </c>
      <c r="B18" s="8" t="s">
        <v>139</v>
      </c>
      <c r="C18" s="8" t="s">
        <v>45</v>
      </c>
      <c r="D18" s="6"/>
      <c r="E18" s="6"/>
      <c r="F18" s="6"/>
    </row>
    <row r="19" spans="1:6" ht="19" x14ac:dyDescent="0.25">
      <c r="A19" s="9" t="s">
        <v>83</v>
      </c>
      <c r="B19" s="14" t="s">
        <v>140</v>
      </c>
      <c r="C19" s="13">
        <f>B11*B15</f>
        <v>200</v>
      </c>
      <c r="D19" s="6"/>
      <c r="E19" s="6"/>
      <c r="F19" s="6"/>
    </row>
    <row r="20" spans="1:6" ht="19" x14ac:dyDescent="0.25">
      <c r="A20" s="9" t="s">
        <v>84</v>
      </c>
      <c r="B20" s="14" t="s">
        <v>141</v>
      </c>
      <c r="C20" s="13">
        <f>C19*(1+MIN(B12,B14))</f>
        <v>206</v>
      </c>
      <c r="D20" s="6"/>
      <c r="E20" s="6"/>
      <c r="F20" s="6"/>
    </row>
    <row r="21" spans="1:6" ht="19" x14ac:dyDescent="0.25">
      <c r="A21" s="9" t="s">
        <v>85</v>
      </c>
      <c r="B21" s="14" t="s">
        <v>142</v>
      </c>
      <c r="C21" s="13">
        <f>B13*B15</f>
        <v>210</v>
      </c>
      <c r="D21" s="6"/>
      <c r="E21" s="6"/>
      <c r="F21" s="6"/>
    </row>
    <row r="22" spans="1:6" ht="19" x14ac:dyDescent="0.25">
      <c r="A22" s="9" t="s">
        <v>86</v>
      </c>
      <c r="B22" s="15" t="s">
        <v>143</v>
      </c>
      <c r="C22" s="13">
        <f>C20+C21</f>
        <v>416</v>
      </c>
      <c r="D22" s="6"/>
      <c r="E22" s="6"/>
      <c r="F22" s="6"/>
    </row>
    <row r="23" spans="1:6" ht="19" x14ac:dyDescent="0.25">
      <c r="A23" s="6"/>
      <c r="B23" s="6"/>
      <c r="C23" s="6"/>
      <c r="D23" s="6"/>
      <c r="E23" s="6"/>
      <c r="F23" s="6"/>
    </row>
  </sheetData>
  <mergeCells count="3">
    <mergeCell ref="A4:F7"/>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zoomScale="91" zoomScaleNormal="120" workbookViewId="0">
      <selection activeCell="D23" sqref="D23"/>
    </sheetView>
  </sheetViews>
  <sheetFormatPr baseColWidth="10" defaultColWidth="8.83203125" defaultRowHeight="15" x14ac:dyDescent="0.2"/>
  <cols>
    <col min="1" max="1" width="26.33203125" bestFit="1" customWidth="1"/>
    <col min="2" max="2" width="30" customWidth="1"/>
    <col min="3" max="4" width="25" customWidth="1"/>
    <col min="5" max="5" width="36.5" bestFit="1" customWidth="1"/>
    <col min="6" max="6" width="30" customWidth="1"/>
  </cols>
  <sheetData>
    <row r="1" spans="1:6" ht="19" x14ac:dyDescent="0.25">
      <c r="A1" s="71" t="s">
        <v>87</v>
      </c>
      <c r="B1" s="64"/>
      <c r="C1" s="64"/>
      <c r="D1" s="64"/>
      <c r="E1" s="64"/>
      <c r="F1" s="64"/>
    </row>
    <row r="2" spans="1:6" ht="19" x14ac:dyDescent="0.25">
      <c r="A2" s="66" t="s">
        <v>88</v>
      </c>
      <c r="B2" s="67"/>
      <c r="C2" s="67"/>
      <c r="D2" s="67"/>
      <c r="E2" s="67"/>
      <c r="F2" s="67"/>
    </row>
    <row r="3" spans="1:6" ht="19" x14ac:dyDescent="0.25">
      <c r="A3" s="21"/>
      <c r="B3" s="5"/>
      <c r="C3" s="5"/>
      <c r="D3" s="5"/>
      <c r="E3" s="5"/>
      <c r="F3" s="5"/>
    </row>
    <row r="4" spans="1:6" x14ac:dyDescent="0.2">
      <c r="A4" s="70" t="s">
        <v>145</v>
      </c>
      <c r="B4" s="69"/>
      <c r="C4" s="69"/>
      <c r="D4" s="69"/>
      <c r="E4" s="69"/>
      <c r="F4" s="69"/>
    </row>
    <row r="5" spans="1:6" x14ac:dyDescent="0.2">
      <c r="A5" s="69"/>
      <c r="B5" s="69"/>
      <c r="C5" s="69"/>
      <c r="D5" s="69"/>
      <c r="E5" s="69"/>
      <c r="F5" s="69"/>
    </row>
    <row r="6" spans="1:6" x14ac:dyDescent="0.2">
      <c r="A6" s="69"/>
      <c r="B6" s="69"/>
      <c r="C6" s="69"/>
      <c r="D6" s="69"/>
      <c r="E6" s="69"/>
      <c r="F6" s="69"/>
    </row>
    <row r="7" spans="1:6" ht="246" customHeight="1" x14ac:dyDescent="0.2">
      <c r="A7" s="69"/>
      <c r="B7" s="69"/>
      <c r="C7" s="69"/>
      <c r="D7" s="69"/>
      <c r="E7" s="69"/>
      <c r="F7" s="69"/>
    </row>
    <row r="8" spans="1:6" ht="19" x14ac:dyDescent="0.25">
      <c r="A8" s="11" t="s">
        <v>25</v>
      </c>
      <c r="B8" s="11" t="s">
        <v>89</v>
      </c>
      <c r="C8" s="11" t="s">
        <v>26</v>
      </c>
      <c r="D8" s="11" t="s">
        <v>27</v>
      </c>
      <c r="E8" s="11" t="s">
        <v>28</v>
      </c>
      <c r="F8" s="6"/>
    </row>
    <row r="9" spans="1:6" ht="19" x14ac:dyDescent="0.25">
      <c r="A9" s="9" t="s">
        <v>90</v>
      </c>
      <c r="B9" s="9" t="s">
        <v>91</v>
      </c>
      <c r="C9" s="16">
        <v>65</v>
      </c>
      <c r="D9" s="9" t="s">
        <v>40</v>
      </c>
      <c r="E9" s="9" t="s">
        <v>92</v>
      </c>
      <c r="F9" s="6"/>
    </row>
    <row r="10" spans="1:6" ht="19" x14ac:dyDescent="0.25">
      <c r="A10" s="9" t="s">
        <v>93</v>
      </c>
      <c r="B10" s="9" t="s">
        <v>94</v>
      </c>
      <c r="C10" s="18">
        <v>0.01</v>
      </c>
      <c r="D10" s="9" t="s">
        <v>31</v>
      </c>
      <c r="E10" s="9" t="s">
        <v>95</v>
      </c>
      <c r="F10" s="6"/>
    </row>
    <row r="11" spans="1:6" ht="19" x14ac:dyDescent="0.25">
      <c r="A11" s="9" t="s">
        <v>96</v>
      </c>
      <c r="B11" s="9" t="s">
        <v>97</v>
      </c>
      <c r="C11" s="19">
        <v>5.0000000000000001E-3</v>
      </c>
      <c r="D11" s="9" t="s">
        <v>31</v>
      </c>
      <c r="E11" s="9" t="s">
        <v>98</v>
      </c>
      <c r="F11" s="6"/>
    </row>
    <row r="12" spans="1:6" ht="19" x14ac:dyDescent="0.25">
      <c r="A12" s="9" t="s">
        <v>99</v>
      </c>
      <c r="B12" s="9" t="s">
        <v>100</v>
      </c>
      <c r="C12" s="18">
        <v>0.03</v>
      </c>
      <c r="D12" s="9" t="s">
        <v>31</v>
      </c>
      <c r="E12" s="9" t="s">
        <v>101</v>
      </c>
      <c r="F12" s="6"/>
    </row>
    <row r="13" spans="1:6" ht="19" x14ac:dyDescent="0.25">
      <c r="A13" s="9" t="s">
        <v>102</v>
      </c>
      <c r="B13" s="9" t="s">
        <v>103</v>
      </c>
      <c r="C13" s="18">
        <v>0.05</v>
      </c>
      <c r="D13" s="9" t="s">
        <v>31</v>
      </c>
      <c r="E13" s="9" t="s">
        <v>104</v>
      </c>
      <c r="F13" s="6"/>
    </row>
    <row r="14" spans="1:6" ht="19" x14ac:dyDescent="0.25">
      <c r="A14" s="9" t="s">
        <v>105</v>
      </c>
      <c r="B14" s="9" t="s">
        <v>105</v>
      </c>
      <c r="C14" s="20">
        <v>30</v>
      </c>
      <c r="D14" s="9" t="s">
        <v>31</v>
      </c>
      <c r="E14" s="9" t="s">
        <v>106</v>
      </c>
      <c r="F14" s="6"/>
    </row>
    <row r="15" spans="1:6" ht="19" x14ac:dyDescent="0.25">
      <c r="A15" s="9" t="s">
        <v>39</v>
      </c>
      <c r="B15" s="9" t="s">
        <v>107</v>
      </c>
      <c r="C15" s="20">
        <v>10</v>
      </c>
      <c r="D15" s="9" t="s">
        <v>40</v>
      </c>
      <c r="E15" s="9" t="s">
        <v>108</v>
      </c>
      <c r="F15" s="6"/>
    </row>
    <row r="16" spans="1:6" ht="19" x14ac:dyDescent="0.25">
      <c r="A16" s="9" t="s">
        <v>58</v>
      </c>
      <c r="B16" s="9" t="s">
        <v>109</v>
      </c>
      <c r="C16" s="9">
        <v>20</v>
      </c>
      <c r="D16" s="9" t="s">
        <v>40</v>
      </c>
      <c r="E16" s="9" t="s">
        <v>144</v>
      </c>
      <c r="F16" s="6"/>
    </row>
    <row r="17" spans="1:6" ht="19" x14ac:dyDescent="0.25">
      <c r="A17" s="9" t="s">
        <v>110</v>
      </c>
      <c r="B17" s="9" t="s">
        <v>111</v>
      </c>
      <c r="C17" s="10">
        <v>0.95</v>
      </c>
      <c r="D17" s="9" t="s">
        <v>31</v>
      </c>
      <c r="E17" s="9" t="s">
        <v>112</v>
      </c>
      <c r="F17" s="6"/>
    </row>
    <row r="18" spans="1:6" ht="19" x14ac:dyDescent="0.25">
      <c r="A18" s="7" t="s">
        <v>113</v>
      </c>
      <c r="B18" s="6"/>
      <c r="C18" s="6"/>
      <c r="D18" s="6"/>
      <c r="E18" s="6"/>
      <c r="F18" s="6"/>
    </row>
    <row r="19" spans="1:6" ht="19" x14ac:dyDescent="0.25">
      <c r="A19" s="6" t="s">
        <v>114</v>
      </c>
      <c r="B19" s="17">
        <f>C17*(1-C10)^C16</f>
        <v>0.77701159071736914</v>
      </c>
      <c r="C19" s="6"/>
      <c r="D19" s="6"/>
      <c r="E19" s="6"/>
      <c r="F19" s="6"/>
    </row>
    <row r="20" spans="1:6" ht="19" x14ac:dyDescent="0.25">
      <c r="A20" s="6" t="s">
        <v>115</v>
      </c>
      <c r="B20" s="17">
        <f>(1+C11)^(-C16)</f>
        <v>0.90506290426665348</v>
      </c>
      <c r="C20" s="6"/>
      <c r="D20" s="6"/>
      <c r="E20" s="6"/>
      <c r="F20" s="6"/>
    </row>
    <row r="21" spans="1:6" ht="19" x14ac:dyDescent="0.25">
      <c r="A21" s="6"/>
      <c r="B21" s="6"/>
      <c r="C21" s="6"/>
      <c r="D21" s="6"/>
      <c r="E21" s="6"/>
      <c r="F21" s="6"/>
    </row>
    <row r="22" spans="1:6" ht="19" x14ac:dyDescent="0.25">
      <c r="A22" s="11" t="s">
        <v>116</v>
      </c>
      <c r="B22" s="11" t="s">
        <v>117</v>
      </c>
      <c r="C22" s="11" t="s">
        <v>118</v>
      </c>
      <c r="D22" s="11" t="s">
        <v>119</v>
      </c>
      <c r="E22" s="11" t="s">
        <v>28</v>
      </c>
      <c r="F22" s="6"/>
    </row>
    <row r="23" spans="1:6" ht="19" x14ac:dyDescent="0.25">
      <c r="A23" s="9" t="s">
        <v>120</v>
      </c>
      <c r="B23" s="9">
        <v>2000</v>
      </c>
      <c r="C23" s="13">
        <f>2000*$B$19*$C$14*$B$20</f>
        <v>42194.662016610862</v>
      </c>
      <c r="D23" s="13">
        <f>C23*($C$15/$C$14)</f>
        <v>14064.887338870287</v>
      </c>
      <c r="E23" s="9" t="s">
        <v>121</v>
      </c>
      <c r="F23" s="6"/>
    </row>
    <row r="24" spans="1:6" ht="19" x14ac:dyDescent="0.25">
      <c r="A24" s="9" t="s">
        <v>122</v>
      </c>
      <c r="B24" s="9">
        <v>3600</v>
      </c>
      <c r="C24" s="13">
        <f>3600*$B$19*$C$14*$B$20</f>
        <v>75950.391629899561</v>
      </c>
      <c r="D24" s="13">
        <f>C24*($C$15/$C$14)</f>
        <v>25316.79720996652</v>
      </c>
      <c r="E24" s="9" t="s">
        <v>123</v>
      </c>
      <c r="F24" s="6"/>
    </row>
    <row r="25" spans="1:6" ht="19" x14ac:dyDescent="0.25">
      <c r="A25" s="9" t="s">
        <v>124</v>
      </c>
      <c r="B25" s="9">
        <v>200</v>
      </c>
      <c r="C25" s="13">
        <f>200*(1+$C$12)^$C$16*$B$19*$C$14*$B$20</f>
        <v>7620.8253111279637</v>
      </c>
      <c r="D25" s="13">
        <f>C25</f>
        <v>7620.8253111279637</v>
      </c>
      <c r="E25" s="9" t="s">
        <v>125</v>
      </c>
      <c r="F25" s="6"/>
    </row>
    <row r="34" spans="1:1" x14ac:dyDescent="0.2">
      <c r="A34" s="4"/>
    </row>
    <row r="36" spans="1:1" x14ac:dyDescent="0.2">
      <c r="A36" s="4"/>
    </row>
    <row r="38" spans="1:1" x14ac:dyDescent="0.2">
      <c r="A38" s="4"/>
    </row>
  </sheetData>
  <mergeCells count="3">
    <mergeCell ref="A2:F2"/>
    <mergeCell ref="A1:F1"/>
    <mergeCell ref="A4:F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0016-03E8-9D46-9636-75566C6F2726}">
  <dimension ref="A1:I35"/>
  <sheetViews>
    <sheetView zoomScale="82" workbookViewId="0">
      <selection activeCell="H30" sqref="H30:I34"/>
    </sheetView>
  </sheetViews>
  <sheetFormatPr baseColWidth="10" defaultColWidth="8.83203125" defaultRowHeight="15" x14ac:dyDescent="0.2"/>
  <cols>
    <col min="1" max="1" width="79.6640625" bestFit="1" customWidth="1"/>
    <col min="2" max="2" width="18" bestFit="1" customWidth="1"/>
    <col min="3" max="3" width="18.1640625" bestFit="1" customWidth="1"/>
    <col min="4" max="4" width="20" customWidth="1"/>
    <col min="5" max="5" width="30.83203125" bestFit="1" customWidth="1"/>
    <col min="6" max="6" width="21.5" bestFit="1" customWidth="1"/>
    <col min="7" max="7" width="19.5" bestFit="1" customWidth="1"/>
    <col min="8" max="9" width="20" customWidth="1"/>
  </cols>
  <sheetData>
    <row r="1" spans="1:9" ht="21" x14ac:dyDescent="0.25">
      <c r="A1" s="74" t="s">
        <v>172</v>
      </c>
      <c r="B1" s="75"/>
      <c r="C1" s="75"/>
      <c r="D1" s="75"/>
      <c r="E1" s="75"/>
      <c r="F1" s="75"/>
      <c r="G1" s="75"/>
      <c r="H1" s="75"/>
      <c r="I1" s="75"/>
    </row>
    <row r="2" spans="1:9" ht="19" x14ac:dyDescent="0.25">
      <c r="A2" s="76" t="s">
        <v>146</v>
      </c>
      <c r="B2" s="77"/>
      <c r="C2" s="77"/>
      <c r="D2" s="77"/>
      <c r="E2" s="77"/>
      <c r="F2" s="77"/>
      <c r="G2" s="77"/>
      <c r="H2" s="77"/>
      <c r="I2" s="77"/>
    </row>
    <row r="3" spans="1:9" x14ac:dyDescent="0.2">
      <c r="A3" s="78" t="s">
        <v>147</v>
      </c>
      <c r="B3" s="79"/>
      <c r="C3" s="79"/>
      <c r="D3" s="79"/>
      <c r="E3" s="79"/>
      <c r="F3" s="79"/>
      <c r="G3" s="79"/>
      <c r="H3" s="79"/>
      <c r="I3" s="79"/>
    </row>
    <row r="4" spans="1:9" x14ac:dyDescent="0.2">
      <c r="A4" s="79"/>
      <c r="B4" s="79"/>
      <c r="C4" s="79"/>
      <c r="D4" s="79"/>
      <c r="E4" s="79"/>
      <c r="F4" s="79"/>
      <c r="G4" s="79"/>
      <c r="H4" s="79"/>
      <c r="I4" s="79"/>
    </row>
    <row r="5" spans="1:9" ht="24" customHeight="1" x14ac:dyDescent="0.2">
      <c r="A5" s="79"/>
      <c r="B5" s="79"/>
      <c r="C5" s="79"/>
      <c r="D5" s="79"/>
      <c r="E5" s="79"/>
      <c r="F5" s="79"/>
      <c r="G5" s="79"/>
      <c r="H5" s="79"/>
      <c r="I5" s="79"/>
    </row>
    <row r="6" spans="1:9" ht="19" x14ac:dyDescent="0.25">
      <c r="A6" s="80" t="s">
        <v>148</v>
      </c>
      <c r="B6" s="81"/>
      <c r="C6" s="81"/>
      <c r="D6" s="81"/>
      <c r="E6" s="81"/>
      <c r="F6" s="81"/>
      <c r="G6" s="81"/>
      <c r="H6" s="81"/>
      <c r="I6" s="81"/>
    </row>
    <row r="7" spans="1:9" ht="19" x14ac:dyDescent="0.25">
      <c r="A7" s="23" t="s">
        <v>25</v>
      </c>
      <c r="B7" s="23" t="s">
        <v>89</v>
      </c>
      <c r="C7" s="23" t="s">
        <v>26</v>
      </c>
      <c r="D7" s="23" t="s">
        <v>27</v>
      </c>
      <c r="E7" s="23" t="s">
        <v>28</v>
      </c>
      <c r="F7" s="24"/>
      <c r="G7" s="24"/>
      <c r="H7" s="24"/>
      <c r="I7" s="24"/>
    </row>
    <row r="8" spans="1:9" ht="19" x14ac:dyDescent="0.25">
      <c r="A8" s="25" t="s">
        <v>149</v>
      </c>
      <c r="B8" s="25" t="s">
        <v>91</v>
      </c>
      <c r="C8" s="26">
        <v>64</v>
      </c>
      <c r="D8" s="25" t="s">
        <v>40</v>
      </c>
      <c r="E8" s="25" t="s">
        <v>92</v>
      </c>
      <c r="F8" s="22"/>
      <c r="G8" s="22"/>
      <c r="H8" s="22"/>
      <c r="I8" s="22"/>
    </row>
    <row r="9" spans="1:9" ht="19" x14ac:dyDescent="0.25">
      <c r="A9" s="25" t="s">
        <v>150</v>
      </c>
      <c r="B9" s="25" t="s">
        <v>94</v>
      </c>
      <c r="C9" s="27">
        <v>0.05</v>
      </c>
      <c r="D9" s="25" t="s">
        <v>151</v>
      </c>
      <c r="E9" s="25" t="s">
        <v>152</v>
      </c>
      <c r="F9" s="22"/>
      <c r="G9" s="22"/>
      <c r="H9" s="22"/>
      <c r="I9" s="22"/>
    </row>
    <row r="10" spans="1:9" ht="19" x14ac:dyDescent="0.25">
      <c r="A10" s="25" t="s">
        <v>126</v>
      </c>
      <c r="B10" s="25" t="s">
        <v>100</v>
      </c>
      <c r="C10" s="27">
        <v>0.02</v>
      </c>
      <c r="D10" s="25" t="s">
        <v>151</v>
      </c>
      <c r="E10" s="25" t="s">
        <v>153</v>
      </c>
      <c r="F10" s="22"/>
      <c r="G10" s="22"/>
      <c r="H10" s="22"/>
      <c r="I10" s="22"/>
    </row>
    <row r="11" spans="1:9" ht="19" x14ac:dyDescent="0.25">
      <c r="A11" s="25" t="s">
        <v>154</v>
      </c>
      <c r="B11" s="25" t="s">
        <v>155</v>
      </c>
      <c r="C11" s="27">
        <v>0.45</v>
      </c>
      <c r="D11" s="25" t="s">
        <v>31</v>
      </c>
      <c r="E11" s="25" t="s">
        <v>156</v>
      </c>
      <c r="F11" s="22"/>
      <c r="G11" s="22"/>
      <c r="H11" s="22"/>
      <c r="I11" s="22"/>
    </row>
    <row r="12" spans="1:9" ht="19" x14ac:dyDescent="0.25">
      <c r="A12" s="25" t="s">
        <v>96</v>
      </c>
      <c r="B12" s="25" t="s">
        <v>97</v>
      </c>
      <c r="C12" s="27">
        <v>0.03</v>
      </c>
      <c r="D12" s="25" t="s">
        <v>31</v>
      </c>
      <c r="E12" s="25" t="s">
        <v>31</v>
      </c>
      <c r="F12" s="22"/>
      <c r="G12" s="22"/>
      <c r="H12" s="22"/>
      <c r="I12" s="22"/>
    </row>
    <row r="13" spans="1:9" ht="19" x14ac:dyDescent="0.25">
      <c r="A13" s="22"/>
      <c r="B13" s="22"/>
      <c r="C13" s="22"/>
      <c r="D13" s="22"/>
      <c r="E13" s="22"/>
      <c r="F13" s="22"/>
      <c r="G13" s="22"/>
      <c r="H13" s="22"/>
      <c r="I13" s="22"/>
    </row>
    <row r="14" spans="1:9" ht="19" x14ac:dyDescent="0.25">
      <c r="A14" s="80" t="s">
        <v>157</v>
      </c>
      <c r="B14" s="81"/>
      <c r="C14" s="81"/>
      <c r="D14" s="81"/>
      <c r="E14" s="81"/>
      <c r="F14" s="81"/>
      <c r="G14" s="81"/>
      <c r="H14" s="81"/>
      <c r="I14" s="81"/>
    </row>
    <row r="15" spans="1:9" ht="19" x14ac:dyDescent="0.25">
      <c r="A15" s="28" t="s">
        <v>158</v>
      </c>
      <c r="B15" s="28" t="s">
        <v>127</v>
      </c>
      <c r="C15" s="28" t="s">
        <v>39</v>
      </c>
      <c r="D15" s="28" t="s">
        <v>159</v>
      </c>
      <c r="E15" s="24"/>
      <c r="F15" s="24"/>
      <c r="G15" s="24"/>
      <c r="H15" s="24"/>
      <c r="I15" s="24"/>
    </row>
    <row r="16" spans="1:9" ht="19" x14ac:dyDescent="0.25">
      <c r="A16" s="29" t="s">
        <v>129</v>
      </c>
      <c r="B16" s="29">
        <v>25</v>
      </c>
      <c r="C16" s="29">
        <v>1</v>
      </c>
      <c r="D16" s="30">
        <v>35000</v>
      </c>
      <c r="E16" s="24"/>
      <c r="F16" s="24"/>
      <c r="G16" s="24"/>
      <c r="H16" s="24"/>
      <c r="I16" s="24"/>
    </row>
    <row r="17" spans="1:9" ht="19" x14ac:dyDescent="0.25">
      <c r="A17" s="29" t="s">
        <v>130</v>
      </c>
      <c r="B17" s="29">
        <v>40</v>
      </c>
      <c r="C17" s="29">
        <v>10</v>
      </c>
      <c r="D17" s="30">
        <v>45000</v>
      </c>
      <c r="E17" s="24"/>
      <c r="F17" s="24"/>
      <c r="G17" s="24"/>
      <c r="H17" s="24"/>
      <c r="I17" s="24"/>
    </row>
    <row r="18" spans="1:9" ht="19" x14ac:dyDescent="0.25">
      <c r="A18" s="29" t="s">
        <v>131</v>
      </c>
      <c r="B18" s="29">
        <v>55</v>
      </c>
      <c r="C18" s="29">
        <v>25</v>
      </c>
      <c r="D18" s="30">
        <v>100000</v>
      </c>
      <c r="E18" s="24"/>
      <c r="F18" s="24"/>
      <c r="G18" s="24"/>
      <c r="H18" s="24"/>
      <c r="I18" s="24"/>
    </row>
    <row r="19" spans="1:9" ht="19" x14ac:dyDescent="0.25">
      <c r="A19" s="31" t="s">
        <v>132</v>
      </c>
      <c r="B19" s="32"/>
      <c r="C19" s="32"/>
      <c r="D19" s="33">
        <f>SUM(D16:D18)</f>
        <v>180000</v>
      </c>
      <c r="E19" s="24"/>
      <c r="F19" s="24"/>
      <c r="G19" s="24"/>
      <c r="H19" s="24"/>
      <c r="I19" s="24"/>
    </row>
    <row r="20" spans="1:9" ht="19" x14ac:dyDescent="0.25">
      <c r="A20" s="34"/>
      <c r="B20" s="34"/>
      <c r="C20" s="34"/>
      <c r="D20" s="34"/>
      <c r="E20" s="34"/>
      <c r="F20" s="34"/>
      <c r="G20" s="34"/>
      <c r="H20" s="34"/>
      <c r="I20" s="34"/>
    </row>
    <row r="21" spans="1:9" ht="19" x14ac:dyDescent="0.25">
      <c r="A21" s="82" t="s">
        <v>160</v>
      </c>
      <c r="B21" s="83"/>
      <c r="C21" s="83"/>
      <c r="D21" s="83"/>
      <c r="E21" s="83"/>
      <c r="F21" s="83"/>
      <c r="G21" s="83"/>
      <c r="H21" s="83"/>
      <c r="I21" s="83"/>
    </row>
    <row r="22" spans="1:9" ht="19" x14ac:dyDescent="0.25">
      <c r="A22" s="36" t="s">
        <v>161</v>
      </c>
      <c r="B22" s="35"/>
      <c r="C22" s="35"/>
      <c r="D22" s="35"/>
      <c r="E22" s="35"/>
      <c r="F22" s="35"/>
      <c r="G22" s="35"/>
      <c r="H22" s="35"/>
      <c r="I22" s="35"/>
    </row>
    <row r="23" spans="1:9" ht="19" x14ac:dyDescent="0.25">
      <c r="A23" s="36" t="s">
        <v>162</v>
      </c>
      <c r="B23" s="35"/>
      <c r="C23" s="35"/>
      <c r="D23" s="35"/>
      <c r="E23" s="35"/>
      <c r="F23" s="35"/>
      <c r="G23" s="35"/>
      <c r="H23" s="35"/>
      <c r="I23" s="35"/>
    </row>
    <row r="24" spans="1:9" ht="19" x14ac:dyDescent="0.25">
      <c r="A24" s="36" t="s">
        <v>163</v>
      </c>
      <c r="B24" s="35"/>
      <c r="C24" s="35"/>
      <c r="D24" s="35"/>
      <c r="E24" s="35"/>
      <c r="F24" s="35"/>
      <c r="G24" s="35"/>
      <c r="H24" s="35"/>
      <c r="I24" s="35"/>
    </row>
    <row r="25" spans="1:9" ht="19" x14ac:dyDescent="0.25">
      <c r="A25" s="36" t="s">
        <v>164</v>
      </c>
      <c r="B25" s="35"/>
      <c r="C25" s="35"/>
      <c r="D25" s="35"/>
      <c r="E25" s="35"/>
      <c r="F25" s="35"/>
      <c r="G25" s="35"/>
      <c r="H25" s="35"/>
      <c r="I25" s="35"/>
    </row>
    <row r="26" spans="1:9" ht="19" x14ac:dyDescent="0.25">
      <c r="A26" s="36" t="s">
        <v>165</v>
      </c>
      <c r="B26" s="35"/>
      <c r="C26" s="35"/>
      <c r="D26" s="35"/>
      <c r="E26" s="35"/>
      <c r="F26" s="35"/>
      <c r="G26" s="35"/>
      <c r="H26" s="35"/>
      <c r="I26" s="35"/>
    </row>
    <row r="27" spans="1:9" ht="19" x14ac:dyDescent="0.25">
      <c r="A27" s="36" t="s">
        <v>166</v>
      </c>
      <c r="B27" s="35"/>
      <c r="C27" s="35"/>
      <c r="D27" s="35"/>
      <c r="E27" s="35"/>
      <c r="F27" s="35"/>
      <c r="G27" s="35"/>
      <c r="H27" s="35"/>
      <c r="I27" s="35"/>
    </row>
    <row r="28" spans="1:9" ht="19" x14ac:dyDescent="0.25">
      <c r="A28" s="34"/>
      <c r="B28" s="34"/>
      <c r="C28" s="34"/>
      <c r="D28" s="34"/>
      <c r="E28" s="34"/>
      <c r="F28" s="34"/>
      <c r="G28" s="34"/>
      <c r="H28" s="34"/>
      <c r="I28" s="34"/>
    </row>
    <row r="29" spans="1:9" ht="19" x14ac:dyDescent="0.25">
      <c r="A29" s="72" t="s">
        <v>191</v>
      </c>
      <c r="B29" s="73"/>
      <c r="C29" s="73"/>
      <c r="D29" s="73"/>
      <c r="E29" s="73"/>
      <c r="F29" s="73"/>
      <c r="G29" s="73"/>
      <c r="H29" s="73"/>
      <c r="I29" s="73"/>
    </row>
    <row r="30" spans="1:9" ht="19" x14ac:dyDescent="0.2">
      <c r="A30" s="23" t="s">
        <v>158</v>
      </c>
      <c r="B30" s="23" t="s">
        <v>128</v>
      </c>
      <c r="C30" s="23" t="s">
        <v>167</v>
      </c>
      <c r="D30" s="23" t="s">
        <v>168</v>
      </c>
      <c r="E30" s="23" t="s">
        <v>118</v>
      </c>
      <c r="F30" s="23" t="s">
        <v>169</v>
      </c>
      <c r="G30" s="23" t="s">
        <v>170</v>
      </c>
      <c r="H30" s="62" t="s">
        <v>119</v>
      </c>
      <c r="I30" s="62" t="s">
        <v>171</v>
      </c>
    </row>
    <row r="31" spans="1:9" ht="19" x14ac:dyDescent="0.2">
      <c r="A31" s="29" t="s">
        <v>129</v>
      </c>
      <c r="B31" s="58">
        <f>$D$16*(1+$C$10)^($C$8-$B$16)</f>
        <v>75766.066888744899</v>
      </c>
      <c r="C31" s="58">
        <f>B31*(1+$C$11)*4/12</f>
        <v>36620.265662893369</v>
      </c>
      <c r="D31" s="58">
        <f>C31*(1-$C$9)^($C$8-$B$16)</f>
        <v>4953.841383500453</v>
      </c>
      <c r="E31" s="58">
        <f>D31/(1+$C$12)^($C$8-$B$16)</f>
        <v>1564.1929831470566</v>
      </c>
      <c r="F31" s="37">
        <f>$C$16</f>
        <v>1</v>
      </c>
      <c r="G31" s="37">
        <f>$C$16+($C$8-$B$16)</f>
        <v>40</v>
      </c>
      <c r="H31" s="58">
        <f>E31*F31/G31</f>
        <v>39.104824578676414</v>
      </c>
      <c r="I31" s="58">
        <f>E31/G31</f>
        <v>39.104824578676414</v>
      </c>
    </row>
    <row r="32" spans="1:9" ht="19" x14ac:dyDescent="0.2">
      <c r="A32" s="29" t="s">
        <v>130</v>
      </c>
      <c r="B32" s="58">
        <f>$D$17*(1+$C$10)^($C$8-$B$17)</f>
        <v>72379.676226385127</v>
      </c>
      <c r="C32" s="58">
        <f>B32*(1+$C$11)*4/12</f>
        <v>34983.510176086143</v>
      </c>
      <c r="D32" s="58">
        <f>C32*(1-$C$9)^($C$8-$B$17)</f>
        <v>10214.801004260918</v>
      </c>
      <c r="E32" s="58">
        <f>D32/(1+$C$12)^($C$8-$B$17)</f>
        <v>5025.0052239906472</v>
      </c>
      <c r="F32" s="37">
        <f>$C$17</f>
        <v>10</v>
      </c>
      <c r="G32" s="37">
        <f>$C$17+($C$8-$B$17)</f>
        <v>34</v>
      </c>
      <c r="H32" s="58">
        <f>E32*F32/G32</f>
        <v>1477.9427129384258</v>
      </c>
      <c r="I32" s="58">
        <f>E32/G32</f>
        <v>147.79427129384257</v>
      </c>
    </row>
    <row r="33" spans="1:9" ht="19" x14ac:dyDescent="0.2">
      <c r="A33" s="29" t="s">
        <v>131</v>
      </c>
      <c r="B33" s="58">
        <f>$D$18*(1+$C$10)^($C$8-$B$18)</f>
        <v>119509.25686223108</v>
      </c>
      <c r="C33" s="58">
        <f>B33*(1+$C$11)*4/12</f>
        <v>57762.807483411685</v>
      </c>
      <c r="D33" s="58">
        <f>C33*(1-$C$9)^($C$8-$B$18)</f>
        <v>36404.975320456462</v>
      </c>
      <c r="E33" s="58">
        <f>D33/(1+$C$12)^($C$8-$B$18)</f>
        <v>27901.382226154627</v>
      </c>
      <c r="F33" s="37">
        <f>$C$18</f>
        <v>25</v>
      </c>
      <c r="G33" s="37">
        <f>$C$18+($C$8-$B$18)</f>
        <v>34</v>
      </c>
      <c r="H33" s="58">
        <f>E33*F33/G33</f>
        <v>20515.722225113695</v>
      </c>
      <c r="I33" s="58">
        <f>E33/G33</f>
        <v>820.62888900454789</v>
      </c>
    </row>
    <row r="34" spans="1:9" ht="19" x14ac:dyDescent="0.25">
      <c r="A34" s="38" t="s">
        <v>132</v>
      </c>
      <c r="B34" s="39"/>
      <c r="C34" s="40"/>
      <c r="D34" s="40"/>
      <c r="E34" s="40"/>
      <c r="F34" s="40"/>
      <c r="G34" s="41"/>
      <c r="H34" s="59">
        <f>SUM(H31:H33)</f>
        <v>22032.769762630796</v>
      </c>
      <c r="I34" s="59">
        <f>SUM(I31:I33)</f>
        <v>1007.5279848770668</v>
      </c>
    </row>
    <row r="35" spans="1:9" x14ac:dyDescent="0.2">
      <c r="A35" s="42"/>
      <c r="B35" s="42"/>
      <c r="C35" s="42"/>
      <c r="D35" s="42"/>
      <c r="E35" s="42"/>
      <c r="F35" s="42"/>
      <c r="G35" s="42"/>
      <c r="H35" s="42"/>
      <c r="I35" s="42"/>
    </row>
  </sheetData>
  <mergeCells count="7">
    <mergeCell ref="A29:I29"/>
    <mergeCell ref="A1:I1"/>
    <mergeCell ref="A2:I2"/>
    <mergeCell ref="A3:I5"/>
    <mergeCell ref="A6:I6"/>
    <mergeCell ref="A14:I14"/>
    <mergeCell ref="A21:I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51D7-C22A-D940-956E-EEE0A1D29CD1}">
  <dimension ref="A1:I45"/>
  <sheetViews>
    <sheetView tabSelected="1" topLeftCell="A22" workbookViewId="0">
      <selection activeCell="G37" sqref="G37"/>
    </sheetView>
  </sheetViews>
  <sheetFormatPr baseColWidth="10" defaultColWidth="8.83203125" defaultRowHeight="19" x14ac:dyDescent="0.25"/>
  <cols>
    <col min="1" max="1" width="89.1640625" style="6" bestFit="1" customWidth="1"/>
    <col min="2" max="2" width="17.1640625" style="6" bestFit="1" customWidth="1"/>
    <col min="3" max="3" width="18.1640625" style="6" bestFit="1" customWidth="1"/>
    <col min="4" max="4" width="20" style="6" customWidth="1"/>
    <col min="5" max="5" width="29.6640625" style="6" bestFit="1" customWidth="1"/>
    <col min="6" max="6" width="20.6640625" style="6" bestFit="1" customWidth="1"/>
    <col min="7" max="7" width="18.6640625" style="6" bestFit="1" customWidth="1"/>
    <col min="8" max="9" width="20" style="6" customWidth="1"/>
    <col min="10" max="16384" width="8.83203125" style="6"/>
  </cols>
  <sheetData>
    <row r="1" spans="1:9" ht="21" x14ac:dyDescent="0.25">
      <c r="A1" s="87" t="s">
        <v>193</v>
      </c>
      <c r="B1" s="88"/>
      <c r="C1" s="88"/>
      <c r="D1" s="88"/>
      <c r="E1" s="88"/>
      <c r="F1" s="88"/>
      <c r="G1" s="88"/>
      <c r="H1" s="88"/>
      <c r="I1" s="88"/>
    </row>
    <row r="2" spans="1:9" x14ac:dyDescent="0.25">
      <c r="A2" s="89" t="s">
        <v>173</v>
      </c>
      <c r="B2" s="69"/>
      <c r="C2" s="69"/>
      <c r="D2" s="69"/>
      <c r="E2" s="69"/>
      <c r="F2" s="69"/>
      <c r="G2" s="69"/>
      <c r="H2" s="69"/>
      <c r="I2" s="69"/>
    </row>
    <row r="3" spans="1:9" x14ac:dyDescent="0.25">
      <c r="A3" s="90" t="s">
        <v>174</v>
      </c>
      <c r="B3" s="91"/>
      <c r="C3" s="91"/>
      <c r="D3" s="91"/>
      <c r="E3" s="91"/>
      <c r="F3" s="91"/>
      <c r="G3" s="91"/>
      <c r="H3" s="91"/>
      <c r="I3" s="91"/>
    </row>
    <row r="4" spans="1:9" x14ac:dyDescent="0.25">
      <c r="A4" s="91"/>
      <c r="B4" s="91"/>
      <c r="C4" s="91"/>
      <c r="D4" s="91"/>
      <c r="E4" s="91"/>
      <c r="F4" s="91"/>
      <c r="G4" s="91"/>
      <c r="H4" s="91"/>
      <c r="I4" s="91"/>
    </row>
    <row r="5" spans="1:9" x14ac:dyDescent="0.25">
      <c r="A5" s="91"/>
      <c r="B5" s="91"/>
      <c r="C5" s="91"/>
      <c r="D5" s="91"/>
      <c r="E5" s="91"/>
      <c r="F5" s="91"/>
      <c r="G5" s="91"/>
      <c r="H5" s="91"/>
      <c r="I5" s="91"/>
    </row>
    <row r="6" spans="1:9" x14ac:dyDescent="0.25">
      <c r="A6" s="84" t="s">
        <v>175</v>
      </c>
      <c r="B6" s="69"/>
      <c r="C6" s="69"/>
      <c r="D6" s="69"/>
      <c r="E6" s="69"/>
      <c r="F6" s="69"/>
      <c r="G6" s="69"/>
      <c r="H6" s="69"/>
      <c r="I6" s="69"/>
    </row>
    <row r="7" spans="1:9" x14ac:dyDescent="0.25">
      <c r="A7" s="46" t="s">
        <v>158</v>
      </c>
      <c r="B7" s="46" t="s">
        <v>127</v>
      </c>
      <c r="C7" s="46" t="s">
        <v>39</v>
      </c>
      <c r="D7" s="46" t="s">
        <v>159</v>
      </c>
    </row>
    <row r="8" spans="1:9" x14ac:dyDescent="0.25">
      <c r="A8" s="47" t="s">
        <v>129</v>
      </c>
      <c r="B8" s="47">
        <v>26</v>
      </c>
      <c r="C8" s="47">
        <v>2</v>
      </c>
      <c r="D8" s="51">
        <v>37000</v>
      </c>
    </row>
    <row r="9" spans="1:9" x14ac:dyDescent="0.25">
      <c r="A9" s="47" t="s">
        <v>130</v>
      </c>
      <c r="B9" s="47">
        <v>41</v>
      </c>
      <c r="C9" s="47">
        <v>11</v>
      </c>
      <c r="D9" s="51">
        <v>47000</v>
      </c>
    </row>
    <row r="10" spans="1:9" x14ac:dyDescent="0.25">
      <c r="A10" s="47" t="s">
        <v>131</v>
      </c>
      <c r="B10" s="47">
        <v>56</v>
      </c>
      <c r="C10" s="47">
        <v>26</v>
      </c>
      <c r="D10" s="51">
        <v>105000</v>
      </c>
    </row>
    <row r="11" spans="1:9" x14ac:dyDescent="0.25">
      <c r="A11" s="52" t="s">
        <v>132</v>
      </c>
      <c r="B11" s="45"/>
      <c r="C11" s="45"/>
      <c r="D11" s="53">
        <f>SUM(D8:D10)</f>
        <v>189000</v>
      </c>
    </row>
    <row r="13" spans="1:9" x14ac:dyDescent="0.25">
      <c r="A13" s="92" t="s">
        <v>176</v>
      </c>
      <c r="B13" s="81"/>
      <c r="C13" s="81"/>
      <c r="D13" s="81"/>
      <c r="E13" s="81"/>
      <c r="F13" s="81"/>
      <c r="G13" s="81"/>
      <c r="H13" s="81"/>
      <c r="I13" s="81"/>
    </row>
    <row r="14" spans="1:9" x14ac:dyDescent="0.25">
      <c r="A14" s="46" t="s">
        <v>25</v>
      </c>
      <c r="B14" s="46" t="s">
        <v>89</v>
      </c>
      <c r="C14" s="46" t="s">
        <v>26</v>
      </c>
      <c r="D14" s="46" t="s">
        <v>27</v>
      </c>
      <c r="E14" s="46" t="s">
        <v>28</v>
      </c>
    </row>
    <row r="15" spans="1:9" x14ac:dyDescent="0.25">
      <c r="A15" s="50" t="s">
        <v>149</v>
      </c>
      <c r="B15" s="50" t="s">
        <v>91</v>
      </c>
      <c r="C15" s="43">
        <f>[1]Exercice_1!C8</f>
        <v>64</v>
      </c>
      <c r="D15" s="50" t="s">
        <v>40</v>
      </c>
      <c r="E15" s="50" t="s">
        <v>92</v>
      </c>
    </row>
    <row r="16" spans="1:9" x14ac:dyDescent="0.25">
      <c r="A16" s="50" t="s">
        <v>150</v>
      </c>
      <c r="B16" s="50" t="s">
        <v>94</v>
      </c>
      <c r="C16" s="61">
        <f>[1]Exercice_1!C9</f>
        <v>0.05</v>
      </c>
      <c r="D16" s="50" t="s">
        <v>151</v>
      </c>
      <c r="E16" s="50" t="s">
        <v>152</v>
      </c>
    </row>
    <row r="17" spans="1:9" x14ac:dyDescent="0.25">
      <c r="A17" s="50" t="s">
        <v>126</v>
      </c>
      <c r="B17" s="50" t="s">
        <v>100</v>
      </c>
      <c r="C17" s="61">
        <f>[1]Exercice_1!C10</f>
        <v>0.02</v>
      </c>
      <c r="D17" s="50" t="s">
        <v>151</v>
      </c>
      <c r="E17" s="50" t="s">
        <v>153</v>
      </c>
    </row>
    <row r="18" spans="1:9" x14ac:dyDescent="0.25">
      <c r="A18" s="50" t="s">
        <v>154</v>
      </c>
      <c r="B18" s="50" t="s">
        <v>155</v>
      </c>
      <c r="C18" s="61">
        <f>[1]Exercice_1!C11</f>
        <v>0.45</v>
      </c>
      <c r="D18" s="50" t="s">
        <v>31</v>
      </c>
      <c r="E18" s="50" t="s">
        <v>156</v>
      </c>
    </row>
    <row r="19" spans="1:9" x14ac:dyDescent="0.25">
      <c r="A19" s="50" t="s">
        <v>96</v>
      </c>
      <c r="B19" s="50" t="s">
        <v>97</v>
      </c>
      <c r="C19" s="61">
        <f>[1]Exercice_1!C12</f>
        <v>0.03</v>
      </c>
      <c r="D19" s="50" t="s">
        <v>31</v>
      </c>
      <c r="E19" s="50" t="s">
        <v>31</v>
      </c>
    </row>
    <row r="20" spans="1:9" x14ac:dyDescent="0.25">
      <c r="A20" s="93" t="s">
        <v>190</v>
      </c>
      <c r="B20" s="94"/>
      <c r="C20" s="94"/>
      <c r="D20" s="94"/>
      <c r="E20" s="94"/>
      <c r="F20" s="94"/>
      <c r="G20" s="94"/>
      <c r="H20" s="94"/>
      <c r="I20" s="94"/>
    </row>
    <row r="21" spans="1:9" x14ac:dyDescent="0.25">
      <c r="A21" s="55" t="s">
        <v>177</v>
      </c>
      <c r="B21" s="54"/>
      <c r="C21" s="54"/>
      <c r="D21" s="54"/>
      <c r="E21" s="54"/>
      <c r="F21" s="54"/>
      <c r="G21" s="54"/>
      <c r="H21" s="54"/>
      <c r="I21" s="54"/>
    </row>
    <row r="22" spans="1:9" x14ac:dyDescent="0.25">
      <c r="A22" s="55" t="s">
        <v>178</v>
      </c>
      <c r="B22" s="54"/>
      <c r="C22" s="54"/>
      <c r="D22" s="54"/>
      <c r="E22" s="54"/>
      <c r="F22" s="54"/>
      <c r="G22" s="54"/>
      <c r="H22" s="54"/>
      <c r="I22" s="54"/>
    </row>
    <row r="23" spans="1:9" x14ac:dyDescent="0.25">
      <c r="A23" s="55" t="s">
        <v>179</v>
      </c>
      <c r="B23" s="54"/>
      <c r="C23" s="54"/>
      <c r="D23" s="54"/>
      <c r="E23" s="54"/>
      <c r="F23" s="54"/>
      <c r="G23" s="54"/>
      <c r="H23" s="54"/>
      <c r="I23" s="54"/>
    </row>
    <row r="24" spans="1:9" x14ac:dyDescent="0.25">
      <c r="A24" s="55" t="s">
        <v>180</v>
      </c>
      <c r="B24" s="54"/>
      <c r="C24" s="54"/>
      <c r="D24" s="54"/>
      <c r="E24" s="54"/>
      <c r="F24" s="54"/>
      <c r="G24" s="54"/>
      <c r="H24" s="54"/>
      <c r="I24" s="54"/>
    </row>
    <row r="25" spans="1:9" x14ac:dyDescent="0.25">
      <c r="A25" s="55" t="s">
        <v>181</v>
      </c>
      <c r="B25" s="54"/>
      <c r="C25" s="54"/>
      <c r="D25" s="54"/>
      <c r="E25" s="54"/>
      <c r="F25" s="54"/>
      <c r="G25" s="54"/>
      <c r="H25" s="54"/>
      <c r="I25" s="54"/>
    </row>
    <row r="26" spans="1:9" x14ac:dyDescent="0.25">
      <c r="A26" s="84"/>
      <c r="B26" s="69"/>
      <c r="C26" s="69"/>
      <c r="D26" s="69"/>
      <c r="E26" s="69"/>
      <c r="F26" s="69"/>
      <c r="G26" s="69"/>
      <c r="H26" s="69"/>
      <c r="I26" s="69"/>
    </row>
    <row r="27" spans="1:9" x14ac:dyDescent="0.25">
      <c r="A27" s="46" t="s">
        <v>158</v>
      </c>
      <c r="B27" s="46" t="s">
        <v>128</v>
      </c>
      <c r="C27" s="46" t="s">
        <v>167</v>
      </c>
      <c r="D27" s="46" t="s">
        <v>168</v>
      </c>
      <c r="E27" s="46" t="s">
        <v>118</v>
      </c>
      <c r="F27" s="46" t="s">
        <v>169</v>
      </c>
      <c r="G27" s="46" t="s">
        <v>170</v>
      </c>
      <c r="H27" s="46" t="s">
        <v>119</v>
      </c>
      <c r="I27" s="46" t="s">
        <v>171</v>
      </c>
    </row>
    <row r="28" spans="1:9" x14ac:dyDescent="0.25">
      <c r="A28" s="47" t="s">
        <v>129</v>
      </c>
      <c r="B28" s="56">
        <f>D8*(1+$C$17)^($C$15-B8)</f>
        <v>78525.055318867293</v>
      </c>
      <c r="C28" s="56">
        <f>B28*(1+$C$18)*4/12</f>
        <v>37953.776737452521</v>
      </c>
      <c r="D28" s="56">
        <f>C28*(1-$C$16)^($C$15-B8)</f>
        <v>5404.4561754243487</v>
      </c>
      <c r="E28" s="56">
        <f>D28/(1+$C$19)^($C$15-B8)</f>
        <v>1757.6704876230085</v>
      </c>
      <c r="F28" s="48">
        <f>C8</f>
        <v>2</v>
      </c>
      <c r="G28" s="48">
        <f>C8+($C$15-B8)</f>
        <v>40</v>
      </c>
      <c r="H28" s="56">
        <f>E28*F28/G28</f>
        <v>87.883524381150423</v>
      </c>
      <c r="I28" s="58">
        <f>E28/G28</f>
        <v>43.941762190575211</v>
      </c>
    </row>
    <row r="29" spans="1:9" x14ac:dyDescent="0.25">
      <c r="A29" s="47" t="s">
        <v>130</v>
      </c>
      <c r="B29" s="56">
        <f>D9*(1+$C$17)^($C$15-B9)</f>
        <v>74114.265416995666</v>
      </c>
      <c r="C29" s="56">
        <f>B29*(1+$C$18)*4/12</f>
        <v>35821.894951547903</v>
      </c>
      <c r="D29" s="56">
        <f>C29*(1-$C$16)^($C$15-B9)</f>
        <v>11010.105428282608</v>
      </c>
      <c r="E29" s="56">
        <f>D29/(1+$C$19)^($C$15-B9)</f>
        <v>5578.7295698517864</v>
      </c>
      <c r="F29" s="48">
        <f>C9</f>
        <v>11</v>
      </c>
      <c r="G29" s="48">
        <f>C9+($C$15-B9)</f>
        <v>34</v>
      </c>
      <c r="H29" s="56">
        <f>E29*F29/G29</f>
        <v>1804.8830961285191</v>
      </c>
      <c r="I29" s="58">
        <f>E29/G29</f>
        <v>164.08028146622902</v>
      </c>
    </row>
    <row r="30" spans="1:9" x14ac:dyDescent="0.25">
      <c r="A30" s="47" t="s">
        <v>131</v>
      </c>
      <c r="B30" s="56">
        <f>D10*(1+$C$17)^($C$15-B10)</f>
        <v>123024.23500523788</v>
      </c>
      <c r="C30" s="56">
        <f>B30*(1+$C$18)*4/12</f>
        <v>59461.713585864978</v>
      </c>
      <c r="D30" s="56">
        <f>C30*(1-$C$16)^($C$15-B10)</f>
        <v>39448.115672321248</v>
      </c>
      <c r="E30" s="56">
        <f>D30/(1+$C$19)^($C$15-B10)</f>
        <v>31140.706788014686</v>
      </c>
      <c r="F30" s="48">
        <f>C10</f>
        <v>26</v>
      </c>
      <c r="G30" s="48">
        <f>C10+($C$15-B10)</f>
        <v>34</v>
      </c>
      <c r="H30" s="56">
        <f>E30*F30/G30</f>
        <v>23813.481661422997</v>
      </c>
      <c r="I30" s="58">
        <f>E30/G30</f>
        <v>915.90314082396139</v>
      </c>
    </row>
    <row r="31" spans="1:9" x14ac:dyDescent="0.25">
      <c r="A31" s="49" t="s">
        <v>132</v>
      </c>
      <c r="B31" s="45"/>
      <c r="C31" s="45"/>
      <c r="D31" s="45"/>
      <c r="E31" s="60">
        <f>SUM(E28:E30)</f>
        <v>38477.106845489485</v>
      </c>
      <c r="F31" s="45"/>
      <c r="G31" s="45"/>
      <c r="H31" s="57">
        <f>SUM(H28:H30)</f>
        <v>25706.248281932665</v>
      </c>
      <c r="I31" s="59">
        <f>SUM(I28:I30)</f>
        <v>1123.9251844807657</v>
      </c>
    </row>
    <row r="33" spans="1:9" x14ac:dyDescent="0.25">
      <c r="A33" s="85" t="s">
        <v>192</v>
      </c>
      <c r="B33" s="86"/>
      <c r="C33" s="86"/>
      <c r="D33" s="86"/>
      <c r="E33" s="86"/>
      <c r="F33" s="86"/>
      <c r="G33" s="86"/>
      <c r="H33" s="86"/>
      <c r="I33" s="86"/>
    </row>
    <row r="34" spans="1:9" x14ac:dyDescent="0.25">
      <c r="A34" s="43" t="s">
        <v>133</v>
      </c>
      <c r="B34" s="44">
        <f>[1]Exercice_1!H34</f>
        <v>22032.769762630796</v>
      </c>
    </row>
    <row r="35" spans="1:9" x14ac:dyDescent="0.25">
      <c r="A35" s="43" t="s">
        <v>182</v>
      </c>
      <c r="B35" s="44">
        <f>[1]Exercice_1!I34</f>
        <v>1007.5279848770668</v>
      </c>
    </row>
    <row r="36" spans="1:9" x14ac:dyDescent="0.25">
      <c r="A36" s="50" t="s">
        <v>183</v>
      </c>
      <c r="B36" s="44">
        <f>(B34+B35)*$C$19</f>
        <v>691.20893242523584</v>
      </c>
    </row>
    <row r="37" spans="1:9" x14ac:dyDescent="0.25">
      <c r="A37" s="50" t="s">
        <v>134</v>
      </c>
      <c r="B37" s="44">
        <v>0</v>
      </c>
    </row>
    <row r="38" spans="1:9" x14ac:dyDescent="0.25">
      <c r="A38" s="43" t="s">
        <v>184</v>
      </c>
      <c r="B38" s="44">
        <f>B34+B35+B36</f>
        <v>23731.5066799331</v>
      </c>
    </row>
    <row r="39" spans="1:9" x14ac:dyDescent="0.25">
      <c r="A39" s="43" t="s">
        <v>185</v>
      </c>
      <c r="B39" s="44">
        <f>H31</f>
        <v>25706.248281932665</v>
      </c>
    </row>
    <row r="40" spans="1:9" x14ac:dyDescent="0.25">
      <c r="A40" s="43" t="s">
        <v>186</v>
      </c>
      <c r="B40" s="44">
        <f>B39-B38</f>
        <v>1974.7416019995653</v>
      </c>
    </row>
    <row r="41" spans="1:9" x14ac:dyDescent="0.25">
      <c r="A41" s="50" t="s">
        <v>187</v>
      </c>
      <c r="B41" s="44">
        <f>I31</f>
        <v>1123.9251844807657</v>
      </c>
    </row>
    <row r="42" spans="1:9" x14ac:dyDescent="0.25">
      <c r="A42" s="50" t="s">
        <v>188</v>
      </c>
      <c r="B42" s="44">
        <f>(B39+B41)*$C$19</f>
        <v>804.9052039924029</v>
      </c>
    </row>
    <row r="43" spans="1:9" x14ac:dyDescent="0.25">
      <c r="A43" s="43" t="s">
        <v>135</v>
      </c>
      <c r="B43" s="44">
        <v>0</v>
      </c>
    </row>
    <row r="44" spans="1:9" x14ac:dyDescent="0.25">
      <c r="A44" s="43" t="s">
        <v>189</v>
      </c>
      <c r="B44" s="44">
        <f>B39+B41+B42</f>
        <v>27635.078670405834</v>
      </c>
    </row>
    <row r="45" spans="1:9" x14ac:dyDescent="0.25">
      <c r="A45" s="22"/>
      <c r="B45" s="22"/>
    </row>
  </sheetData>
  <mergeCells count="8">
    <mergeCell ref="A26:I26"/>
    <mergeCell ref="A33:I33"/>
    <mergeCell ref="A1:I1"/>
    <mergeCell ref="A2:I2"/>
    <mergeCell ref="A3:I5"/>
    <mergeCell ref="A6:I6"/>
    <mergeCell ref="A13:I13"/>
    <mergeCell ref="A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Index</vt:lpstr>
      <vt:lpstr>01_Intro</vt:lpstr>
      <vt:lpstr>02_Alea</vt:lpstr>
      <vt:lpstr>03_Certains</vt:lpstr>
      <vt:lpstr>04_IAS19_Alea</vt:lpstr>
      <vt:lpstr>IFC_ IAS 19</vt:lpstr>
      <vt:lpstr>traitement comptable IAS 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2025-11-12T00:55:09Z</dcterms:created>
  <dcterms:modified xsi:type="dcterms:W3CDTF">2025-11-12T17:31:48Z</dcterms:modified>
</cp:coreProperties>
</file>