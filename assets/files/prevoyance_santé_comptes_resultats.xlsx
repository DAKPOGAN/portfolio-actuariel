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pauldakpogan/Downloads/"/>
    </mc:Choice>
  </mc:AlternateContent>
  <xr:revisionPtr revIDLastSave="0" documentId="8_{33BAB27E-DE04-1443-A591-3BECFE8C7E4D}" xr6:coauthVersionLast="47" xr6:coauthVersionMax="47" xr10:uidLastSave="{00000000-0000-0000-0000-000000000000}"/>
  <bookViews>
    <workbookView xWindow="0" yWindow="500" windowWidth="33600" windowHeight="19460" xr2:uid="{00000000-000D-0000-FFFF-FFFF00000000}"/>
  </bookViews>
  <sheets>
    <sheet name="Compte de Résultats" sheetId="1"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4" i="1" l="1"/>
  <c r="B136" i="1" s="1"/>
  <c r="B117" i="1"/>
  <c r="B116" i="1"/>
  <c r="B97" i="1"/>
  <c r="B96" i="1"/>
  <c r="B87" i="1"/>
  <c r="B86" i="1"/>
  <c r="B84" i="1"/>
  <c r="C68" i="1"/>
  <c r="D68" i="1" s="1"/>
  <c r="B62" i="1"/>
  <c r="E61" i="1"/>
  <c r="B61" i="1"/>
  <c r="B54" i="1"/>
  <c r="E53" i="1"/>
  <c r="B53" i="1"/>
  <c r="F40" i="1"/>
  <c r="E40" i="1"/>
  <c r="F39" i="1"/>
  <c r="E39" i="1"/>
  <c r="F38" i="1"/>
  <c r="E38" i="1"/>
  <c r="F37" i="1"/>
  <c r="E37" i="1"/>
  <c r="F36" i="1"/>
  <c r="E36" i="1"/>
  <c r="F35" i="1"/>
  <c r="E35" i="1"/>
  <c r="F34" i="1"/>
  <c r="E34" i="1"/>
  <c r="B25" i="1"/>
  <c r="B23" i="1"/>
  <c r="B98" i="1" l="1"/>
  <c r="B99" i="1" s="1"/>
</calcChain>
</file>

<file path=xl/sharedStrings.xml><?xml version="1.0" encoding="utf-8"?>
<sst xmlns="http://schemas.openxmlformats.org/spreadsheetml/2006/main" count="155" uniqueCount="121">
  <si>
    <t>Compte de Résultats – Prévoyance Collective</t>
  </si>
  <si>
    <t>Introduction : Notions fondamentales et QCM</t>
  </si>
  <si>
    <t>Cette section rappelle les notions clés du compte de résultats : crédit, débit, solde, provisions (PSAP, PM, IBNR), et marge technique. Répondez aux QCM suivants en indiquant la lettre de votre choix dans la colonne Réponse.</t>
  </si>
  <si>
    <t>Question</t>
  </si>
  <si>
    <t>A</t>
  </si>
  <si>
    <t>B</t>
  </si>
  <si>
    <t>C</t>
  </si>
  <si>
    <t>Réponse</t>
  </si>
  <si>
    <t>QCM 1 : La structure d'un compte de résultats se compose de deux parties :</t>
  </si>
  <si>
    <t>Crédit : ressources (+) / Débit : emplois (–)</t>
  </si>
  <si>
    <t>Débit : ressources (–) / Crédit : emplois (+)</t>
  </si>
  <si>
    <t>Crédit : provisions (–) / Débit : produits (+)</t>
  </si>
  <si>
    <t>QCM 2 : Le solde technique prévoyance se calcule comme :</t>
  </si>
  <si>
    <t>Débit – Crédit</t>
  </si>
  <si>
    <t>Crédit – Débit</t>
  </si>
  <si>
    <t>Prestations – Cotisations</t>
  </si>
  <si>
    <t>QCM 3 : PSAP signifie :</t>
  </si>
  <si>
    <t>Provision pour sinistres à payer</t>
  </si>
  <si>
    <t>Provision mathématique</t>
  </si>
  <si>
    <t>Provision pour sinistres inconnus</t>
  </si>
  <si>
    <t>Exercice 1 – Compte par exercice comptable</t>
  </si>
  <si>
    <t>Données : Cotisations 428 272 ; Prestations 169 410 ; Variation PSAP 20 690 ; Variation PM 53 394 ; Variation IBNR 14 986 ; Intérêts techniques 26 458 ; Frais sur cotisations 35 462 ; Produits financiers hors intérêts 7 247. Toutes les variations de provisions et les frais sont considérés comme des charges à déduire.</t>
  </si>
  <si>
    <t>Poste</t>
  </si>
  <si>
    <t>Montant</t>
  </si>
  <si>
    <t>Cotisations</t>
  </si>
  <si>
    <t>Prestations</t>
  </si>
  <si>
    <t>Variation PSAP</t>
  </si>
  <si>
    <t>Variation PM</t>
  </si>
  <si>
    <t>Variation IBNR</t>
  </si>
  <si>
    <t>Intérêts techniques</t>
  </si>
  <si>
    <t>Frais sur cotisations</t>
  </si>
  <si>
    <t>Marge technique</t>
  </si>
  <si>
    <t>Produits financiers hors intérêts techniques</t>
  </si>
  <si>
    <t>Résultat technico-financier</t>
  </si>
  <si>
    <t>Interprétation : la marge technique représente l'excédent des ressources nettes après provisions et frais ; le résultat technico-financier intègre en plus les produits financiers. Si le résultat est positif, la gestion est rentable ; s'il est négatif, des ajustements sont à prévoir.</t>
  </si>
  <si>
    <t>Exercice 2 – Compte par exercice de survenance</t>
  </si>
  <si>
    <t>Données : reproduction du tableau par année de survenance (Cotisations, Charge de sinistres, Frais). Calculez le résultat technique et le ratio (Prestations + Provisions) / Cotisations pour chaque période.</t>
  </si>
  <si>
    <t>Période</t>
  </si>
  <si>
    <t>Charge de sinistres</t>
  </si>
  <si>
    <t>Frais</t>
  </si>
  <si>
    <t>Résultat technique</t>
  </si>
  <si>
    <t>Ratio S/P</t>
  </si>
  <si>
    <t>2017-2019</t>
  </si>
  <si>
    <t>2015-2019</t>
  </si>
  <si>
    <t>2019</t>
  </si>
  <si>
    <t>2018</t>
  </si>
  <si>
    <t>2017</t>
  </si>
  <si>
    <t>2016</t>
  </si>
  <si>
    <t>2015</t>
  </si>
  <si>
    <t>Interprétation : le résultat technique mesure la performance par cohorte. Un ratio (Prestations + Provisions) / Cotisations élevé (&gt; 100 %) indique une sinistralité forte. Une cohorte ancienne peut avoir un bon résultat malgré un ratio élevé si les charges de sinistres sont déjà payées.</t>
  </si>
  <si>
    <t>Exercice 3 – Solde créditeur vs débiteur</t>
  </si>
  <si>
    <t>Rappel : lorsque le Crédit est supérieur au Débit, le solde est créditeur. Dans le cas contraire, il est débiteur. Remplissez les tableaux suivants et calculez le solde. Les montants sont donnés à titre d’exemple.</t>
  </si>
  <si>
    <t>Cas créditeur</t>
  </si>
  <si>
    <t>Débit</t>
  </si>
  <si>
    <t>Crédit</t>
  </si>
  <si>
    <t>Provisions au 31/12/N</t>
  </si>
  <si>
    <t>Provisions au 31/12/N-1</t>
  </si>
  <si>
    <t>Chargements</t>
  </si>
  <si>
    <t>Prestations payées</t>
  </si>
  <si>
    <t>Total Débit</t>
  </si>
  <si>
    <t>Total Crédit</t>
  </si>
  <si>
    <t>Solde technique</t>
  </si>
  <si>
    <t>Sens du solde</t>
  </si>
  <si>
    <t>Cas débiteur</t>
  </si>
  <si>
    <t>Exercice 4 – Mécanisme de participation aux bénéfices</t>
  </si>
  <si>
    <t>Consigne : répartissez un résultat de participation aux bénéfices entre dotation à la provision pour égalisation et quote-part reversée au souscripteur. Utilisez le pourcentage de dotation (90 % dans cet exemple).</t>
  </si>
  <si>
    <t>Résultat PB (en k€)</t>
  </si>
  <si>
    <t>Dotation (%)</t>
  </si>
  <si>
    <t>Dotation à la PE</t>
  </si>
  <si>
    <t>Restitution au souscripteur</t>
  </si>
  <si>
    <t>Interprétation : la participation aux bénéfices permet de restituer une partie de l'excédent aux souscripteurs. La dotation à la provision pour égalisation renforce la marge de sécurité. Les pourcentages varient selon le contrat.</t>
  </si>
  <si>
    <t>Exercice 5 – Solde Global : cas bénéficiaire et déficitaire</t>
  </si>
  <si>
    <t>Consigne : utilisez les scénarios suivants pour appliquer les règles du solde global. Limitez la dotation à 75 % du solde technique prévoyance et prélevez sur la réserve générale en cas de déficit.</t>
  </si>
  <si>
    <t>Cas déficitaire</t>
  </si>
  <si>
    <t>Item</t>
  </si>
  <si>
    <t>Résultat prévoyance</t>
  </si>
  <si>
    <t>Résultat santé</t>
  </si>
  <si>
    <t>Reliquat solde global N-1</t>
  </si>
  <si>
    <t>Intérêts sur reliquat</t>
  </si>
  <si>
    <t>Solde technique prévoyance</t>
  </si>
  <si>
    <t>Réserve générale initiale</t>
  </si>
  <si>
    <t>Solde global initial</t>
  </si>
  <si>
    <t>Prélèvement sur réserve générale</t>
  </si>
  <si>
    <t>Reliquat après prélèvement</t>
  </si>
  <si>
    <t>Réserve générale finale</t>
  </si>
  <si>
    <t>Cas bénéficiaire</t>
  </si>
  <si>
    <t>Limite 75 % du solde technique prévoyance</t>
  </si>
  <si>
    <t>Dotation à la provision d'égalisation</t>
  </si>
  <si>
    <t>Reliquat affecté à la réserve générale</t>
  </si>
  <si>
    <t>Interprétation : en cas de déficit, on prélève sur la réserve générale pour apurer le solde ; le reliquat est reporté. En cas de bénéfice, on dote la provision pour égalisation dans la limite de 75 % du solde technique prévoyance, le reliquat étant affecté à la réserve générale.</t>
  </si>
  <si>
    <t>Exercice 6 – Calcul de la rémunération de l’assureur</t>
  </si>
  <si>
    <t>Consigne : calculez la rémunération de l’assureur selon la règle suivante : XX % de l’éventuelle différence positive entre (résultat prévoyance + résultat santé) et le reliquat du solde global déficitaire majoré d’intérêts. La rémunération ne peut être inférieure à XXXXX % des cotisations encaissées et à encaisser de l’assureur.</t>
  </si>
  <si>
    <t>Résultat prévoyance bénéficiaire ou déficit non compensé</t>
  </si>
  <si>
    <t>Reliquat solde global déficitaire majoré d'intérêts</t>
  </si>
  <si>
    <t>Cotisations nettes de taxes</t>
  </si>
  <si>
    <t>Taux de rémunération (%)</t>
  </si>
  <si>
    <t>Taux minimum contractuel (%)</t>
  </si>
  <si>
    <t>Différence positive</t>
  </si>
  <si>
    <t>Rémunération théorique</t>
  </si>
  <si>
    <t>Rémunération minimum</t>
  </si>
  <si>
    <t>Rémunération retenue</t>
  </si>
  <si>
    <t>Interprétation : la rémunération de l’assureur est calculée sur la base de la différence positive entre les résultats et le reliquat déficitaire, mais elle ne peut pas descendre en dessous d’un minimum lié aux cotisations. Cela garantit à l’assureur un niveau de rémunération contractuel.</t>
  </si>
  <si>
    <t>Exercice 7 – Reconstitution du flux ‘Solde global → réserves → report’</t>
  </si>
  <si>
    <t>Consigne : complétez le tableau suivant avec les montants (en k€) et calculez le solde global final ainsi que le report. Utilisez le schéma fourni pour guider la logique des flux.</t>
  </si>
  <si>
    <t>Étape</t>
  </si>
  <si>
    <t>Reliquat solde N-1</t>
  </si>
  <si>
    <t>Intérêts financiers sur PE</t>
  </si>
  <si>
    <t>Réintégration PE +10 ans non utilisée</t>
  </si>
  <si>
    <t>Excédent PE</t>
  </si>
  <si>
    <t>Prélèvements divers</t>
  </si>
  <si>
    <t>Dotation / Prélèvement réserve</t>
  </si>
  <si>
    <t>Rémunération assureur</t>
  </si>
  <si>
    <t>Solde global final</t>
  </si>
  <si>
    <t>Interprétation : ce flux montre comment le Solde global se construit à partir des différents résultats, reliquats et réserves. Le solde final peut être reporté sur l'année suivante.</t>
  </si>
  <si>
    <t>Partie BONUS – Questions d’interprétation</t>
  </si>
  <si>
    <t>Que signifie un solde débiteur récurrent et quelles actions cela implique-t-il pour l’assureur et le souscripteur ?</t>
  </si>
  <si>
    <t>Réponse :</t>
  </si>
  <si>
    <t>Pourquoi appliquer une limite de 75 % au solde technique prévoyance dans l'affectation à la provision pour égalisation ?</t>
  </si>
  <si>
    <t>Dans quels cas déclenche-t-on une dotation à la provision pour égalisation ?</t>
  </si>
  <si>
    <r>
      <rPr>
        <b/>
        <i/>
        <sz val="11"/>
        <rFont val="Calibri"/>
        <family val="2"/>
      </rPr>
      <t>Réponse</t>
    </r>
    <r>
      <rPr>
        <i/>
        <sz val="11"/>
        <rFont val="Calibri"/>
        <family val="2"/>
      </rPr>
      <t xml:space="preserve"> : Raison actuarielle / contractuelle :
La provision pour égalisation (PE) sert à lisser les résultats techniques entre les années bénéficiaires et déficitaires.
Sans limite, un solde exceptionnellement favorable pourrait gonfler artificiellement la PE, ce qui figerait trop d'argent immobilisé au lieu d’être partagé ou restitué.</t>
    </r>
  </si>
  <si>
    <r>
      <rPr>
        <b/>
        <i/>
        <sz val="11"/>
        <rFont val="Calibri"/>
        <family val="2"/>
      </rPr>
      <t>Réponse</t>
    </r>
    <r>
      <rPr>
        <i/>
        <sz val="11"/>
        <rFont val="Calibri"/>
        <family val="2"/>
      </rPr>
      <t xml:space="preserve"> : Un solde débiteur signifie que les charges (prestations, frais, dotations aux provisions) sont supérieures aux produits (cotisations, produits financiers) → le contrat est déficitaire. S'il est récurrent, cela indique un déséquilibre structurel du régime, non lié à une simple volatilité annuelle.                                                                                                                                                                                                                                                                                  
</t>
    </r>
    <r>
      <rPr>
        <b/>
        <i/>
        <sz val="11"/>
        <rFont val="Calibri"/>
        <family val="2"/>
      </rPr>
      <t xml:space="preserve">Assureur peut </t>
    </r>
    <r>
      <rPr>
        <i/>
        <sz val="11"/>
        <rFont val="Calibri"/>
        <family val="2"/>
      </rPr>
      <t xml:space="preserve">:Demander une révision tarifaire,  (hausse des cotisations) , Réviser ou supprimer certaines garanties,  - Mettre en œuvre une clause de résiliation pour déséquilibre technique si prévue dans le protocole) , Mobiliser des réserves d’égalisation , si elles existent.
</t>
    </r>
    <r>
      <rPr>
        <b/>
        <i/>
        <sz val="11"/>
        <rFont val="Calibri"/>
        <family val="2"/>
      </rPr>
      <t>Souscripteur peut soit</t>
    </r>
    <r>
      <rPr>
        <i/>
        <sz val="11"/>
        <rFont val="Calibri"/>
        <family val="2"/>
      </rPr>
      <t xml:space="preserve"> : - Accepter une hausse de prime ou améliorer la qualité du risque  (actions de prévention, maîtrise des sinistres) ,Réviser le régime (franchises, plafonds, exclusions)  - Mettre en concurrence l’assureur si désaccord sur l’équilibre du contrat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</si>
</sst>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6"/>
      <color rgb="FFFFFFFF"/>
      <name val="Calibri"/>
      <family val="2"/>
    </font>
    <font>
      <b/>
      <sz val="11"/>
      <color rgb="FFFFFFFF"/>
      <name val="Calibri"/>
      <family val="2"/>
    </font>
    <font>
      <sz val="11"/>
      <name val="Calibri"/>
      <family val="2"/>
    </font>
    <font>
      <b/>
      <sz val="11"/>
      <name val="Calibri"/>
      <family val="2"/>
    </font>
    <font>
      <i/>
      <sz val="11"/>
      <name val="Calibri"/>
      <family val="2"/>
    </font>
    <font>
      <b/>
      <sz val="11"/>
      <color rgb="FF0F4C81"/>
      <name val="Calibri"/>
      <family val="2"/>
    </font>
    <font>
      <sz val="11"/>
      <color theme="1"/>
      <name val="Calibri"/>
      <family val="2"/>
      <scheme val="minor"/>
    </font>
    <font>
      <b/>
      <i/>
      <sz val="11"/>
      <name val="Calibri"/>
      <family val="2"/>
    </font>
    <font>
      <b/>
      <sz val="11"/>
      <color theme="1"/>
      <name val="Calibri"/>
      <family val="2"/>
      <scheme val="minor"/>
    </font>
  </fonts>
  <fills count="6">
    <fill>
      <patternFill patternType="none"/>
    </fill>
    <fill>
      <patternFill patternType="gray125"/>
    </fill>
    <fill>
      <patternFill patternType="solid">
        <fgColor rgb="FF0F4C81"/>
      </patternFill>
    </fill>
    <fill>
      <patternFill patternType="solid">
        <fgColor rgb="FF7F3FBF"/>
      </patternFill>
    </fill>
    <fill>
      <patternFill patternType="solid">
        <fgColor rgb="FFFFFDE7"/>
      </patternFill>
    </fill>
    <fill>
      <patternFill patternType="solid">
        <fgColor theme="2" tint="-9.9978637043366805E-2"/>
        <bgColor indexed="64"/>
      </patternFill>
    </fill>
  </fills>
  <borders count="2">
    <border>
      <left/>
      <right/>
      <top/>
      <bottom/>
      <diagonal/>
    </border>
    <border>
      <left style="thin">
        <color rgb="FFDDDDDD"/>
      </left>
      <right style="thin">
        <color rgb="FFDDDDDD"/>
      </right>
      <top style="thin">
        <color rgb="FFDDDDDD"/>
      </top>
      <bottom style="thin">
        <color rgb="FFDDDDDD"/>
      </bottom>
      <diagonal/>
    </border>
  </borders>
  <cellStyleXfs count="2">
    <xf numFmtId="0" fontId="0" fillId="0" borderId="0"/>
    <xf numFmtId="9" fontId="7" fillId="0" borderId="0" applyFont="0" applyFill="0" applyBorder="0" applyAlignment="0" applyProtection="0"/>
  </cellStyleXfs>
  <cellXfs count="26">
    <xf numFmtId="0" fontId="0" fillId="0" borderId="0" xfId="0"/>
    <xf numFmtId="0" fontId="2" fillId="2" borderId="0" xfId="0" applyFont="1" applyFill="1" applyAlignment="1">
      <alignment horizontal="center"/>
    </xf>
    <xf numFmtId="0" fontId="0" fillId="0" borderId="1" xfId="0" applyBorder="1" applyAlignment="1">
      <alignment wrapText="1"/>
    </xf>
    <xf numFmtId="0" fontId="2" fillId="2" borderId="1" xfId="0" applyFont="1" applyFill="1" applyBorder="1" applyAlignment="1">
      <alignment horizontal="center"/>
    </xf>
    <xf numFmtId="0" fontId="0" fillId="0" borderId="1" xfId="0" applyBorder="1" applyAlignment="1">
      <alignment horizontal="left"/>
    </xf>
    <xf numFmtId="0" fontId="0" fillId="0" borderId="1" xfId="0" applyBorder="1" applyAlignment="1">
      <alignment horizontal="right"/>
    </xf>
    <xf numFmtId="0" fontId="4" fillId="0" borderId="1" xfId="0" applyFont="1" applyBorder="1" applyAlignment="1">
      <alignment horizontal="left"/>
    </xf>
    <xf numFmtId="3" fontId="4" fillId="0" borderId="1" xfId="0" applyNumberFormat="1" applyFont="1" applyBorder="1" applyAlignment="1">
      <alignment horizontal="right"/>
    </xf>
    <xf numFmtId="0" fontId="3" fillId="0" borderId="1" xfId="0" applyFont="1" applyBorder="1" applyAlignment="1">
      <alignment horizontal="left"/>
    </xf>
    <xf numFmtId="0" fontId="4" fillId="0" borderId="1" xfId="0" applyFont="1" applyBorder="1" applyAlignment="1">
      <alignment horizontal="right"/>
    </xf>
    <xf numFmtId="0" fontId="2" fillId="2" borderId="1" xfId="0" applyFont="1" applyFill="1" applyBorder="1"/>
    <xf numFmtId="0" fontId="3" fillId="4" borderId="0" xfId="0" applyFont="1" applyFill="1" applyAlignment="1">
      <alignment wrapText="1"/>
    </xf>
    <xf numFmtId="0" fontId="0" fillId="0" borderId="0" xfId="0"/>
    <xf numFmtId="0" fontId="5" fillId="0" borderId="0" xfId="0" applyFont="1"/>
    <xf numFmtId="0" fontId="6" fillId="0" borderId="0" xfId="0" applyFont="1" applyAlignment="1">
      <alignment horizontal="left"/>
    </xf>
    <xf numFmtId="0" fontId="2" fillId="3" borderId="0" xfId="0" applyFont="1" applyFill="1" applyAlignment="1">
      <alignment wrapText="1"/>
    </xf>
    <xf numFmtId="0" fontId="4" fillId="0" borderId="0" xfId="0" applyFont="1"/>
    <xf numFmtId="0" fontId="5" fillId="4" borderId="0" xfId="0" applyFont="1" applyFill="1" applyAlignment="1">
      <alignment wrapText="1"/>
    </xf>
    <xf numFmtId="0" fontId="1" fillId="2" borderId="0" xfId="0" applyFont="1" applyFill="1" applyAlignment="1">
      <alignment horizontal="center" vertical="center"/>
    </xf>
    <xf numFmtId="0" fontId="6" fillId="0" borderId="0" xfId="0" applyFont="1"/>
    <xf numFmtId="0" fontId="5" fillId="0" borderId="0" xfId="0" applyFont="1" applyAlignment="1">
      <alignment wrapText="1"/>
    </xf>
    <xf numFmtId="0" fontId="9" fillId="0" borderId="1" xfId="0" applyFont="1" applyBorder="1" applyAlignment="1">
      <alignment horizontal="left"/>
    </xf>
    <xf numFmtId="0" fontId="9" fillId="0" borderId="1" xfId="0" applyFont="1" applyBorder="1" applyAlignment="1">
      <alignment horizontal="right"/>
    </xf>
    <xf numFmtId="0" fontId="9" fillId="5" borderId="1" xfId="0" applyFont="1" applyFill="1" applyBorder="1" applyAlignment="1">
      <alignment horizontal="right"/>
    </xf>
    <xf numFmtId="9" fontId="9" fillId="0" borderId="1" xfId="1" applyFont="1" applyBorder="1" applyAlignment="1">
      <alignment horizontal="right"/>
    </xf>
    <xf numFmtId="0" fontId="9" fillId="0" borderId="1" xfId="0" applyFont="1" applyBorder="1" applyAlignment="1">
      <alignment wrapText="1"/>
    </xf>
  </cellXfs>
  <cellStyles count="2">
    <cellStyle name="Normal" xfId="0" builtinId="0"/>
    <cellStyle name="Pourcentage"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49"/>
  <sheetViews>
    <sheetView tabSelected="1" workbookViewId="0">
      <selection activeCell="G7" sqref="G7"/>
    </sheetView>
  </sheetViews>
  <sheetFormatPr baseColWidth="10" defaultColWidth="8.83203125" defaultRowHeight="15" x14ac:dyDescent="0.2"/>
  <cols>
    <col min="1" max="1" width="35.83203125" customWidth="1"/>
    <col min="2" max="2" width="26.5" customWidth="1"/>
    <col min="3" max="3" width="18" customWidth="1"/>
    <col min="4" max="4" width="31.83203125" customWidth="1"/>
    <col min="5" max="14" width="18" customWidth="1"/>
  </cols>
  <sheetData>
    <row r="1" spans="1:14" ht="21" x14ac:dyDescent="0.2">
      <c r="A1" s="18" t="s">
        <v>0</v>
      </c>
      <c r="B1" s="12"/>
      <c r="C1" s="12"/>
      <c r="D1" s="12"/>
      <c r="E1" s="12"/>
      <c r="F1" s="12"/>
      <c r="G1" s="12"/>
      <c r="H1" s="12"/>
      <c r="I1" s="12"/>
      <c r="J1" s="12"/>
      <c r="K1" s="12"/>
      <c r="L1" s="12"/>
      <c r="M1" s="12"/>
      <c r="N1" s="12"/>
    </row>
    <row r="3" spans="1:14" x14ac:dyDescent="0.2">
      <c r="A3" s="15" t="s">
        <v>1</v>
      </c>
      <c r="B3" s="12"/>
      <c r="C3" s="12"/>
      <c r="D3" s="12"/>
      <c r="E3" s="12"/>
      <c r="F3" s="12"/>
      <c r="G3" s="12"/>
      <c r="H3" s="12"/>
      <c r="I3" s="12"/>
      <c r="J3" s="12"/>
      <c r="K3" s="12"/>
      <c r="L3" s="12"/>
      <c r="M3" s="12"/>
      <c r="N3" s="12"/>
    </row>
    <row r="4" spans="1:14" x14ac:dyDescent="0.2">
      <c r="A4" s="11" t="s">
        <v>2</v>
      </c>
      <c r="B4" s="12"/>
      <c r="C4" s="12"/>
      <c r="D4" s="12"/>
      <c r="E4" s="12"/>
      <c r="F4" s="12"/>
      <c r="G4" s="12"/>
      <c r="H4" s="12"/>
      <c r="I4" s="12"/>
      <c r="J4" s="12"/>
      <c r="K4" s="12"/>
      <c r="L4" s="12"/>
      <c r="M4" s="12"/>
      <c r="N4" s="12"/>
    </row>
    <row r="6" spans="1:14" x14ac:dyDescent="0.2">
      <c r="A6" s="1" t="s">
        <v>3</v>
      </c>
      <c r="B6" s="1" t="s">
        <v>4</v>
      </c>
      <c r="C6" s="1" t="s">
        <v>5</v>
      </c>
      <c r="D6" s="1" t="s">
        <v>6</v>
      </c>
      <c r="E6" s="1" t="s">
        <v>7</v>
      </c>
      <c r="F6" s="1"/>
    </row>
    <row r="7" spans="1:14" ht="32" x14ac:dyDescent="0.2">
      <c r="A7" s="2" t="s">
        <v>8</v>
      </c>
      <c r="B7" s="2" t="s">
        <v>9</v>
      </c>
      <c r="C7" s="2" t="s">
        <v>10</v>
      </c>
      <c r="D7" s="2" t="s">
        <v>11</v>
      </c>
      <c r="E7" s="25" t="s">
        <v>9</v>
      </c>
      <c r="F7" s="2"/>
    </row>
    <row r="8" spans="1:14" ht="32" x14ac:dyDescent="0.2">
      <c r="A8" s="2" t="s">
        <v>12</v>
      </c>
      <c r="B8" s="2" t="s">
        <v>13</v>
      </c>
      <c r="C8" s="2" t="s">
        <v>14</v>
      </c>
      <c r="D8" s="2" t="s">
        <v>15</v>
      </c>
      <c r="E8" s="25" t="s">
        <v>14</v>
      </c>
      <c r="F8" s="2"/>
    </row>
    <row r="9" spans="1:14" ht="32" x14ac:dyDescent="0.2">
      <c r="A9" s="2" t="s">
        <v>16</v>
      </c>
      <c r="B9" s="2" t="s">
        <v>17</v>
      </c>
      <c r="C9" s="2" t="s">
        <v>18</v>
      </c>
      <c r="D9" s="2" t="s">
        <v>19</v>
      </c>
      <c r="E9" s="25" t="s">
        <v>17</v>
      </c>
      <c r="F9" s="2"/>
    </row>
    <row r="12" spans="1:14" x14ac:dyDescent="0.2">
      <c r="A12" s="15" t="s">
        <v>20</v>
      </c>
      <c r="B12" s="12"/>
      <c r="C12" s="12"/>
      <c r="D12" s="12"/>
      <c r="E12" s="12"/>
      <c r="F12" s="12"/>
      <c r="G12" s="12"/>
      <c r="H12" s="12"/>
      <c r="I12" s="12"/>
      <c r="J12" s="12"/>
      <c r="K12" s="12"/>
      <c r="L12" s="12"/>
      <c r="M12" s="12"/>
      <c r="N12" s="12"/>
    </row>
    <row r="13" spans="1:14" x14ac:dyDescent="0.2">
      <c r="A13" s="11" t="s">
        <v>21</v>
      </c>
      <c r="B13" s="12"/>
      <c r="C13" s="12"/>
      <c r="D13" s="12"/>
      <c r="E13" s="12"/>
      <c r="F13" s="12"/>
      <c r="G13" s="12"/>
      <c r="H13" s="12"/>
      <c r="I13" s="12"/>
      <c r="J13" s="12"/>
      <c r="K13" s="12"/>
      <c r="L13" s="12"/>
      <c r="M13" s="12"/>
      <c r="N13" s="12"/>
    </row>
    <row r="15" spans="1:14" x14ac:dyDescent="0.2">
      <c r="A15" s="3" t="s">
        <v>22</v>
      </c>
      <c r="B15" s="3" t="s">
        <v>23</v>
      </c>
    </row>
    <row r="16" spans="1:14" x14ac:dyDescent="0.2">
      <c r="A16" s="4" t="s">
        <v>24</v>
      </c>
      <c r="B16" s="5">
        <v>428272</v>
      </c>
    </row>
    <row r="17" spans="1:14" x14ac:dyDescent="0.2">
      <c r="A17" s="4" t="s">
        <v>25</v>
      </c>
      <c r="B17" s="5">
        <v>-169410</v>
      </c>
    </row>
    <row r="18" spans="1:14" x14ac:dyDescent="0.2">
      <c r="A18" s="4" t="s">
        <v>26</v>
      </c>
      <c r="B18" s="5">
        <v>-20690</v>
      </c>
    </row>
    <row r="19" spans="1:14" x14ac:dyDescent="0.2">
      <c r="A19" s="4" t="s">
        <v>27</v>
      </c>
      <c r="B19" s="5">
        <v>-53394</v>
      </c>
    </row>
    <row r="20" spans="1:14" x14ac:dyDescent="0.2">
      <c r="A20" s="4" t="s">
        <v>28</v>
      </c>
      <c r="B20" s="5">
        <v>-14986</v>
      </c>
    </row>
    <row r="21" spans="1:14" x14ac:dyDescent="0.2">
      <c r="A21" s="4" t="s">
        <v>29</v>
      </c>
      <c r="B21" s="5">
        <v>26458</v>
      </c>
    </row>
    <row r="22" spans="1:14" x14ac:dyDescent="0.2">
      <c r="A22" s="4" t="s">
        <v>30</v>
      </c>
      <c r="B22" s="5">
        <v>-35462</v>
      </c>
    </row>
    <row r="23" spans="1:14" x14ac:dyDescent="0.2">
      <c r="A23" s="6" t="s">
        <v>31</v>
      </c>
      <c r="B23" s="7">
        <f>SUM(B16:B22)</f>
        <v>160788</v>
      </c>
    </row>
    <row r="24" spans="1:14" x14ac:dyDescent="0.2">
      <c r="A24" s="8" t="s">
        <v>32</v>
      </c>
      <c r="B24" s="5">
        <v>7247</v>
      </c>
    </row>
    <row r="25" spans="1:14" x14ac:dyDescent="0.2">
      <c r="A25" s="6" t="s">
        <v>33</v>
      </c>
      <c r="B25" s="9">
        <f>B23+B24</f>
        <v>168035</v>
      </c>
    </row>
    <row r="27" spans="1:14" x14ac:dyDescent="0.2">
      <c r="A27" s="17" t="s">
        <v>34</v>
      </c>
      <c r="B27" s="12"/>
      <c r="C27" s="12"/>
      <c r="D27" s="12"/>
      <c r="E27" s="12"/>
      <c r="F27" s="12"/>
      <c r="G27" s="12"/>
      <c r="H27" s="12"/>
      <c r="I27" s="12"/>
      <c r="J27" s="12"/>
      <c r="K27" s="12"/>
      <c r="L27" s="12"/>
      <c r="M27" s="12"/>
      <c r="N27" s="12"/>
    </row>
    <row r="30" spans="1:14" x14ac:dyDescent="0.2">
      <c r="A30" s="15" t="s">
        <v>35</v>
      </c>
      <c r="B30" s="12"/>
      <c r="C30" s="12"/>
      <c r="D30" s="12"/>
      <c r="E30" s="12"/>
      <c r="F30" s="12"/>
      <c r="G30" s="12"/>
      <c r="H30" s="12"/>
      <c r="I30" s="12"/>
      <c r="J30" s="12"/>
      <c r="K30" s="12"/>
      <c r="L30" s="12"/>
      <c r="M30" s="12"/>
      <c r="N30" s="12"/>
    </row>
    <row r="31" spans="1:14" x14ac:dyDescent="0.2">
      <c r="A31" s="11" t="s">
        <v>36</v>
      </c>
      <c r="B31" s="12"/>
      <c r="C31" s="12"/>
      <c r="D31" s="12"/>
      <c r="E31" s="12"/>
      <c r="F31" s="12"/>
      <c r="G31" s="12"/>
      <c r="H31" s="12"/>
      <c r="I31" s="12"/>
      <c r="J31" s="12"/>
      <c r="K31" s="12"/>
      <c r="L31" s="12"/>
      <c r="M31" s="12"/>
      <c r="N31" s="12"/>
    </row>
    <row r="33" spans="1:14" x14ac:dyDescent="0.2">
      <c r="A33" s="3" t="s">
        <v>37</v>
      </c>
      <c r="B33" s="3" t="s">
        <v>24</v>
      </c>
      <c r="C33" s="3" t="s">
        <v>38</v>
      </c>
      <c r="D33" s="3" t="s">
        <v>39</v>
      </c>
      <c r="E33" s="3" t="s">
        <v>40</v>
      </c>
      <c r="F33" s="3" t="s">
        <v>41</v>
      </c>
    </row>
    <row r="34" spans="1:14" x14ac:dyDescent="0.2">
      <c r="A34" s="4" t="s">
        <v>42</v>
      </c>
      <c r="B34" s="5">
        <v>4420468</v>
      </c>
      <c r="C34" s="5">
        <v>0</v>
      </c>
      <c r="D34" s="5">
        <v>-442047</v>
      </c>
      <c r="E34" s="22">
        <f t="shared" ref="E34:E40" si="0">B34+C34+D34</f>
        <v>3978421</v>
      </c>
      <c r="F34" s="24">
        <f t="shared" ref="F34:F40" si="1">ABS(C34)/B34</f>
        <v>0</v>
      </c>
    </row>
    <row r="35" spans="1:14" x14ac:dyDescent="0.2">
      <c r="A35" s="4" t="s">
        <v>43</v>
      </c>
      <c r="B35" s="5">
        <v>6924062</v>
      </c>
      <c r="C35" s="5">
        <v>0</v>
      </c>
      <c r="D35" s="5">
        <v>-722206</v>
      </c>
      <c r="E35" s="22">
        <f t="shared" si="0"/>
        <v>6201856</v>
      </c>
      <c r="F35" s="24">
        <f t="shared" si="1"/>
        <v>0</v>
      </c>
    </row>
    <row r="36" spans="1:14" x14ac:dyDescent="0.2">
      <c r="A36" s="4" t="s">
        <v>44</v>
      </c>
      <c r="B36" s="5">
        <v>1503356</v>
      </c>
      <c r="C36" s="5">
        <v>-1052838</v>
      </c>
      <c r="D36" s="5">
        <v>-150336</v>
      </c>
      <c r="E36" s="22">
        <f t="shared" si="0"/>
        <v>300182</v>
      </c>
      <c r="F36" s="24">
        <f t="shared" si="1"/>
        <v>0.70032513922184769</v>
      </c>
    </row>
    <row r="37" spans="1:14" x14ac:dyDescent="0.2">
      <c r="A37" s="4" t="s">
        <v>45</v>
      </c>
      <c r="B37" s="5">
        <v>1473289</v>
      </c>
      <c r="C37" s="5">
        <v>-1042310</v>
      </c>
      <c r="D37" s="5">
        <v>-147329</v>
      </c>
      <c r="E37" s="22">
        <f t="shared" si="0"/>
        <v>283650</v>
      </c>
      <c r="F37" s="24">
        <f t="shared" si="1"/>
        <v>0.70747151441434775</v>
      </c>
    </row>
    <row r="38" spans="1:14" x14ac:dyDescent="0.2">
      <c r="A38" s="4" t="s">
        <v>46</v>
      </c>
      <c r="B38" s="5">
        <v>1443823</v>
      </c>
      <c r="C38" s="5">
        <v>-1031887</v>
      </c>
      <c r="D38" s="5">
        <v>-144382</v>
      </c>
      <c r="E38" s="22">
        <f t="shared" si="0"/>
        <v>267554</v>
      </c>
      <c r="F38" s="24">
        <f t="shared" si="1"/>
        <v>0.71469078966050548</v>
      </c>
    </row>
    <row r="39" spans="1:14" x14ac:dyDescent="0.2">
      <c r="A39" s="4" t="s">
        <v>47</v>
      </c>
      <c r="B39" s="5">
        <v>1314947</v>
      </c>
      <c r="C39" s="5">
        <v>-1021568</v>
      </c>
      <c r="D39" s="5">
        <v>-141495</v>
      </c>
      <c r="E39" s="22">
        <f t="shared" si="0"/>
        <v>151884</v>
      </c>
      <c r="F39" s="24">
        <f t="shared" si="1"/>
        <v>0.77688910655714638</v>
      </c>
    </row>
    <row r="40" spans="1:14" x14ac:dyDescent="0.2">
      <c r="A40" s="4" t="s">
        <v>48</v>
      </c>
      <c r="B40" s="5">
        <v>1188648</v>
      </c>
      <c r="C40" s="5">
        <v>-1011352</v>
      </c>
      <c r="D40" s="5">
        <v>-138665</v>
      </c>
      <c r="E40" s="22">
        <f t="shared" si="0"/>
        <v>38631</v>
      </c>
      <c r="F40" s="24">
        <f t="shared" si="1"/>
        <v>0.85084230150557605</v>
      </c>
    </row>
    <row r="42" spans="1:14" x14ac:dyDescent="0.2">
      <c r="A42" s="17" t="s">
        <v>49</v>
      </c>
      <c r="B42" s="12"/>
      <c r="C42" s="12"/>
      <c r="D42" s="12"/>
      <c r="E42" s="12"/>
      <c r="F42" s="12"/>
      <c r="G42" s="12"/>
      <c r="H42" s="12"/>
      <c r="I42" s="12"/>
      <c r="J42" s="12"/>
      <c r="K42" s="12"/>
      <c r="L42" s="12"/>
      <c r="M42" s="12"/>
      <c r="N42" s="12"/>
    </row>
    <row r="45" spans="1:14" x14ac:dyDescent="0.2">
      <c r="A45" s="15" t="s">
        <v>50</v>
      </c>
      <c r="B45" s="12"/>
      <c r="C45" s="12"/>
      <c r="D45" s="12"/>
      <c r="E45" s="12"/>
      <c r="F45" s="12"/>
      <c r="G45" s="12"/>
      <c r="H45" s="12"/>
      <c r="I45" s="12"/>
      <c r="J45" s="12"/>
      <c r="K45" s="12"/>
      <c r="L45" s="12"/>
      <c r="M45" s="12"/>
      <c r="N45" s="12"/>
    </row>
    <row r="46" spans="1:14" x14ac:dyDescent="0.2">
      <c r="A46" s="11" t="s">
        <v>51</v>
      </c>
      <c r="B46" s="12"/>
      <c r="C46" s="12"/>
      <c r="D46" s="12"/>
      <c r="E46" s="12"/>
      <c r="F46" s="12"/>
      <c r="G46" s="12"/>
      <c r="H46" s="12"/>
      <c r="I46" s="12"/>
      <c r="J46" s="12"/>
      <c r="K46" s="12"/>
      <c r="L46" s="12"/>
      <c r="M46" s="12"/>
      <c r="N46" s="12"/>
    </row>
    <row r="48" spans="1:14" x14ac:dyDescent="0.2">
      <c r="A48" s="14" t="s">
        <v>52</v>
      </c>
      <c r="B48" s="12"/>
      <c r="C48" s="12"/>
      <c r="D48" s="12"/>
      <c r="E48" s="12"/>
      <c r="F48" s="12"/>
      <c r="G48" s="12"/>
      <c r="H48" s="12"/>
      <c r="I48" s="12"/>
      <c r="J48" s="12"/>
      <c r="K48" s="12"/>
      <c r="L48" s="12"/>
      <c r="M48" s="12"/>
      <c r="N48" s="12"/>
    </row>
    <row r="49" spans="1:14" x14ac:dyDescent="0.2">
      <c r="A49" s="10" t="s">
        <v>53</v>
      </c>
      <c r="B49" s="10" t="s">
        <v>23</v>
      </c>
      <c r="D49" s="10" t="s">
        <v>54</v>
      </c>
      <c r="E49" s="10" t="s">
        <v>23</v>
      </c>
    </row>
    <row r="50" spans="1:14" x14ac:dyDescent="0.2">
      <c r="A50" s="4" t="s">
        <v>55</v>
      </c>
      <c r="B50" s="5">
        <v>600</v>
      </c>
      <c r="D50" s="4" t="s">
        <v>56</v>
      </c>
      <c r="E50" s="5">
        <v>800</v>
      </c>
    </row>
    <row r="51" spans="1:14" x14ac:dyDescent="0.2">
      <c r="A51" s="4" t="s">
        <v>57</v>
      </c>
      <c r="B51" s="5">
        <v>50</v>
      </c>
      <c r="D51" s="4" t="s">
        <v>24</v>
      </c>
      <c r="E51" s="5">
        <v>500</v>
      </c>
    </row>
    <row r="52" spans="1:14" x14ac:dyDescent="0.2">
      <c r="A52" s="4" t="s">
        <v>58</v>
      </c>
      <c r="B52" s="5">
        <v>200</v>
      </c>
      <c r="D52" s="4"/>
      <c r="E52" s="5"/>
    </row>
    <row r="53" spans="1:14" x14ac:dyDescent="0.2">
      <c r="A53" s="6" t="s">
        <v>59</v>
      </c>
      <c r="B53" s="9">
        <f>SUM(B50:B52)</f>
        <v>850</v>
      </c>
      <c r="D53" s="6" t="s">
        <v>60</v>
      </c>
      <c r="E53" s="9">
        <f>SUM(E50:E52)</f>
        <v>1300</v>
      </c>
    </row>
    <row r="54" spans="1:14" x14ac:dyDescent="0.2">
      <c r="A54" s="6" t="s">
        <v>61</v>
      </c>
      <c r="B54" s="9">
        <f>E53-B53</f>
        <v>450</v>
      </c>
      <c r="D54" s="6" t="s">
        <v>62</v>
      </c>
      <c r="E54" s="5"/>
    </row>
    <row r="56" spans="1:14" x14ac:dyDescent="0.2">
      <c r="A56" s="14" t="s">
        <v>63</v>
      </c>
      <c r="B56" s="12"/>
      <c r="C56" s="12"/>
      <c r="D56" s="12"/>
      <c r="E56" s="12"/>
      <c r="F56" s="12"/>
      <c r="G56" s="12"/>
      <c r="H56" s="12"/>
      <c r="I56" s="12"/>
      <c r="J56" s="12"/>
      <c r="K56" s="12"/>
      <c r="L56" s="12"/>
      <c r="M56" s="12"/>
      <c r="N56" s="12"/>
    </row>
    <row r="57" spans="1:14" x14ac:dyDescent="0.2">
      <c r="A57" s="10" t="s">
        <v>53</v>
      </c>
      <c r="B57" s="10" t="s">
        <v>23</v>
      </c>
      <c r="D57" s="10" t="s">
        <v>54</v>
      </c>
      <c r="E57" s="10" t="s">
        <v>23</v>
      </c>
    </row>
    <row r="58" spans="1:14" x14ac:dyDescent="0.2">
      <c r="A58" s="4" t="s">
        <v>55</v>
      </c>
      <c r="B58" s="5">
        <v>1000</v>
      </c>
      <c r="D58" s="4" t="s">
        <v>56</v>
      </c>
      <c r="E58" s="5">
        <v>800</v>
      </c>
    </row>
    <row r="59" spans="1:14" x14ac:dyDescent="0.2">
      <c r="A59" s="4" t="s">
        <v>57</v>
      </c>
      <c r="B59" s="5">
        <v>60</v>
      </c>
      <c r="D59" s="4" t="s">
        <v>24</v>
      </c>
      <c r="E59" s="5">
        <v>500</v>
      </c>
    </row>
    <row r="60" spans="1:14" x14ac:dyDescent="0.2">
      <c r="A60" s="4" t="s">
        <v>58</v>
      </c>
      <c r="B60" s="5">
        <v>300</v>
      </c>
      <c r="D60" s="4"/>
      <c r="E60" s="5"/>
    </row>
    <row r="61" spans="1:14" x14ac:dyDescent="0.2">
      <c r="A61" s="6" t="s">
        <v>59</v>
      </c>
      <c r="B61" s="9">
        <f>SUM(B58:B60)</f>
        <v>1360</v>
      </c>
      <c r="D61" s="6" t="s">
        <v>60</v>
      </c>
      <c r="E61" s="9">
        <f>SUM(E58:E60)</f>
        <v>1300</v>
      </c>
    </row>
    <row r="62" spans="1:14" x14ac:dyDescent="0.2">
      <c r="A62" s="6" t="s">
        <v>61</v>
      </c>
      <c r="B62" s="9">
        <f>E61-B61</f>
        <v>-60</v>
      </c>
      <c r="D62" s="6" t="s">
        <v>62</v>
      </c>
      <c r="E62" s="5"/>
    </row>
    <row r="64" spans="1:14" x14ac:dyDescent="0.2">
      <c r="A64" s="15" t="s">
        <v>64</v>
      </c>
      <c r="B64" s="12"/>
      <c r="C64" s="12"/>
      <c r="D64" s="12"/>
      <c r="E64" s="12"/>
      <c r="F64" s="12"/>
      <c r="G64" s="12"/>
      <c r="H64" s="12"/>
      <c r="I64" s="12"/>
      <c r="J64" s="12"/>
      <c r="K64" s="12"/>
      <c r="L64" s="12"/>
      <c r="M64" s="12"/>
      <c r="N64" s="12"/>
    </row>
    <row r="65" spans="1:14" x14ac:dyDescent="0.2">
      <c r="A65" s="11" t="s">
        <v>65</v>
      </c>
      <c r="B65" s="12"/>
      <c r="C65" s="12"/>
      <c r="D65" s="12"/>
      <c r="E65" s="12"/>
      <c r="F65" s="12"/>
      <c r="G65" s="12"/>
      <c r="H65" s="12"/>
      <c r="I65" s="12"/>
      <c r="J65" s="12"/>
      <c r="K65" s="12"/>
      <c r="L65" s="12"/>
      <c r="M65" s="12"/>
      <c r="N65" s="12"/>
    </row>
    <row r="67" spans="1:14" x14ac:dyDescent="0.2">
      <c r="A67" s="3" t="s">
        <v>66</v>
      </c>
      <c r="B67" s="3" t="s">
        <v>67</v>
      </c>
      <c r="C67" s="3" t="s">
        <v>68</v>
      </c>
      <c r="D67" s="3" t="s">
        <v>69</v>
      </c>
    </row>
    <row r="68" spans="1:14" x14ac:dyDescent="0.2">
      <c r="A68" s="4">
        <v>100</v>
      </c>
      <c r="B68" s="5">
        <v>0.9</v>
      </c>
      <c r="C68" s="5">
        <f>A68*B68</f>
        <v>90</v>
      </c>
      <c r="D68" s="23">
        <f>A68-C68</f>
        <v>10</v>
      </c>
    </row>
    <row r="70" spans="1:14" x14ac:dyDescent="0.2">
      <c r="A70" s="17" t="s">
        <v>70</v>
      </c>
      <c r="B70" s="12"/>
      <c r="C70" s="12"/>
      <c r="D70" s="12"/>
      <c r="E70" s="12"/>
      <c r="F70" s="12"/>
      <c r="G70" s="12"/>
      <c r="H70" s="12"/>
      <c r="I70" s="12"/>
      <c r="J70" s="12"/>
      <c r="K70" s="12"/>
      <c r="L70" s="12"/>
      <c r="M70" s="12"/>
      <c r="N70" s="12"/>
    </row>
    <row r="73" spans="1:14" x14ac:dyDescent="0.2">
      <c r="A73" s="15" t="s">
        <v>71</v>
      </c>
      <c r="B73" s="12"/>
      <c r="C73" s="12"/>
      <c r="D73" s="12"/>
      <c r="E73" s="12"/>
      <c r="F73" s="12"/>
      <c r="G73" s="12"/>
      <c r="H73" s="12"/>
      <c r="I73" s="12"/>
      <c r="J73" s="12"/>
      <c r="K73" s="12"/>
      <c r="L73" s="12"/>
      <c r="M73" s="12"/>
      <c r="N73" s="12"/>
    </row>
    <row r="74" spans="1:14" x14ac:dyDescent="0.2">
      <c r="A74" s="11" t="s">
        <v>72</v>
      </c>
      <c r="B74" s="12"/>
      <c r="C74" s="12"/>
      <c r="D74" s="12"/>
      <c r="E74" s="12"/>
      <c r="F74" s="12"/>
      <c r="G74" s="12"/>
      <c r="H74" s="12"/>
      <c r="I74" s="12"/>
      <c r="J74" s="12"/>
      <c r="K74" s="12"/>
      <c r="L74" s="12"/>
      <c r="M74" s="12"/>
      <c r="N74" s="12"/>
    </row>
    <row r="76" spans="1:14" x14ac:dyDescent="0.2">
      <c r="A76" s="19" t="s">
        <v>73</v>
      </c>
      <c r="B76" s="12"/>
      <c r="C76" s="12"/>
      <c r="D76" s="12"/>
      <c r="E76" s="12"/>
      <c r="F76" s="12"/>
      <c r="G76" s="12"/>
      <c r="H76" s="12"/>
      <c r="I76" s="12"/>
      <c r="J76" s="12"/>
      <c r="K76" s="12"/>
      <c r="L76" s="12"/>
      <c r="M76" s="12"/>
      <c r="N76" s="12"/>
    </row>
    <row r="77" spans="1:14" x14ac:dyDescent="0.2">
      <c r="A77" s="3" t="s">
        <v>74</v>
      </c>
      <c r="B77" s="3" t="s">
        <v>23</v>
      </c>
    </row>
    <row r="78" spans="1:14" x14ac:dyDescent="0.2">
      <c r="A78" t="s">
        <v>75</v>
      </c>
      <c r="B78">
        <v>-20000</v>
      </c>
    </row>
    <row r="79" spans="1:14" x14ac:dyDescent="0.2">
      <c r="A79" t="s">
        <v>76</v>
      </c>
      <c r="B79">
        <v>5000</v>
      </c>
    </row>
    <row r="80" spans="1:14" x14ac:dyDescent="0.2">
      <c r="A80" s="4" t="s">
        <v>77</v>
      </c>
      <c r="B80" s="5">
        <v>-8000</v>
      </c>
    </row>
    <row r="81" spans="1:14" x14ac:dyDescent="0.2">
      <c r="A81" s="4" t="s">
        <v>78</v>
      </c>
      <c r="B81" s="5">
        <v>500</v>
      </c>
    </row>
    <row r="82" spans="1:14" x14ac:dyDescent="0.2">
      <c r="A82" s="4" t="s">
        <v>79</v>
      </c>
      <c r="B82" s="5">
        <v>10000</v>
      </c>
    </row>
    <row r="83" spans="1:14" x14ac:dyDescent="0.2">
      <c r="A83" s="4" t="s">
        <v>80</v>
      </c>
      <c r="B83" s="5">
        <v>15000</v>
      </c>
    </row>
    <row r="84" spans="1:14" x14ac:dyDescent="0.2">
      <c r="A84" s="21" t="s">
        <v>81</v>
      </c>
      <c r="B84" s="22">
        <f>SUM(B78:B81)</f>
        <v>-22500</v>
      </c>
    </row>
    <row r="85" spans="1:14" x14ac:dyDescent="0.2">
      <c r="A85" s="21" t="s">
        <v>82</v>
      </c>
      <c r="B85" s="22"/>
    </row>
    <row r="86" spans="1:14" x14ac:dyDescent="0.2">
      <c r="A86" s="21" t="s">
        <v>83</v>
      </c>
      <c r="B86" s="22">
        <f>B84+B85</f>
        <v>-22500</v>
      </c>
    </row>
    <row r="87" spans="1:14" x14ac:dyDescent="0.2">
      <c r="A87" s="21" t="s">
        <v>84</v>
      </c>
      <c r="B87" s="22">
        <f>B82-B85</f>
        <v>10000</v>
      </c>
    </row>
    <row r="90" spans="1:14" x14ac:dyDescent="0.2">
      <c r="A90" s="19" t="s">
        <v>85</v>
      </c>
      <c r="B90" s="12"/>
      <c r="C90" s="12"/>
      <c r="D90" s="12"/>
      <c r="E90" s="12"/>
      <c r="F90" s="12"/>
      <c r="G90" s="12"/>
      <c r="H90" s="12"/>
      <c r="I90" s="12"/>
      <c r="J90" s="12"/>
      <c r="K90" s="12"/>
      <c r="L90" s="12"/>
      <c r="M90" s="12"/>
      <c r="N90" s="12"/>
    </row>
    <row r="91" spans="1:14" x14ac:dyDescent="0.2">
      <c r="A91" s="3" t="s">
        <v>74</v>
      </c>
      <c r="B91" s="3" t="s">
        <v>23</v>
      </c>
    </row>
    <row r="92" spans="1:14" x14ac:dyDescent="0.2">
      <c r="A92" t="s">
        <v>75</v>
      </c>
      <c r="B92">
        <v>50000</v>
      </c>
    </row>
    <row r="93" spans="1:14" x14ac:dyDescent="0.2">
      <c r="A93" s="4" t="s">
        <v>76</v>
      </c>
      <c r="B93" s="5">
        <v>10000</v>
      </c>
    </row>
    <row r="94" spans="1:14" x14ac:dyDescent="0.2">
      <c r="A94" s="4" t="s">
        <v>77</v>
      </c>
      <c r="B94" s="5">
        <v>0</v>
      </c>
    </row>
    <row r="95" spans="1:14" x14ac:dyDescent="0.2">
      <c r="A95" s="4" t="s">
        <v>79</v>
      </c>
      <c r="B95" s="5">
        <v>40000</v>
      </c>
    </row>
    <row r="96" spans="1:14" x14ac:dyDescent="0.2">
      <c r="A96" s="21" t="s">
        <v>81</v>
      </c>
      <c r="B96" s="22">
        <f>SUM(B92:B95)</f>
        <v>100000</v>
      </c>
    </row>
    <row r="97" spans="1:14" x14ac:dyDescent="0.2">
      <c r="A97" s="21" t="s">
        <v>86</v>
      </c>
      <c r="B97" s="22">
        <f>0.75*B95</f>
        <v>30000</v>
      </c>
    </row>
    <row r="98" spans="1:14" x14ac:dyDescent="0.2">
      <c r="A98" s="21" t="s">
        <v>87</v>
      </c>
      <c r="B98" s="22">
        <f>MIN(B96,B97)</f>
        <v>30000</v>
      </c>
    </row>
    <row r="99" spans="1:14" x14ac:dyDescent="0.2">
      <c r="A99" s="21" t="s">
        <v>88</v>
      </c>
      <c r="B99" s="22">
        <f>B96-B98</f>
        <v>70000</v>
      </c>
    </row>
    <row r="102" spans="1:14" x14ac:dyDescent="0.2">
      <c r="A102" s="17" t="s">
        <v>89</v>
      </c>
      <c r="B102" s="12"/>
      <c r="C102" s="12"/>
      <c r="D102" s="12"/>
      <c r="E102" s="12"/>
      <c r="F102" s="12"/>
      <c r="G102" s="12"/>
      <c r="H102" s="12"/>
      <c r="I102" s="12"/>
      <c r="J102" s="12"/>
      <c r="K102" s="12"/>
      <c r="L102" s="12"/>
      <c r="M102" s="12"/>
      <c r="N102" s="12"/>
    </row>
    <row r="105" spans="1:14" x14ac:dyDescent="0.2">
      <c r="A105" s="15" t="s">
        <v>90</v>
      </c>
      <c r="B105" s="12"/>
      <c r="C105" s="12"/>
      <c r="D105" s="12"/>
      <c r="E105" s="12"/>
      <c r="F105" s="12"/>
      <c r="G105" s="12"/>
      <c r="H105" s="12"/>
      <c r="I105" s="12"/>
      <c r="J105" s="12"/>
      <c r="K105" s="12"/>
      <c r="L105" s="12"/>
      <c r="M105" s="12"/>
      <c r="N105" s="12"/>
    </row>
    <row r="106" spans="1:14" x14ac:dyDescent="0.2">
      <c r="A106" s="11" t="s">
        <v>91</v>
      </c>
      <c r="B106" s="12"/>
      <c r="C106" s="12"/>
      <c r="D106" s="12"/>
      <c r="E106" s="12"/>
      <c r="F106" s="12"/>
      <c r="G106" s="12"/>
      <c r="H106" s="12"/>
      <c r="I106" s="12"/>
      <c r="J106" s="12"/>
      <c r="K106" s="12"/>
      <c r="L106" s="12"/>
      <c r="M106" s="12"/>
      <c r="N106" s="12"/>
    </row>
    <row r="108" spans="1:14" x14ac:dyDescent="0.2">
      <c r="A108" s="3" t="s">
        <v>74</v>
      </c>
      <c r="B108" s="3" t="s">
        <v>23</v>
      </c>
    </row>
    <row r="109" spans="1:14" x14ac:dyDescent="0.2">
      <c r="A109" t="s">
        <v>92</v>
      </c>
      <c r="B109">
        <v>20000</v>
      </c>
    </row>
    <row r="110" spans="1:14" x14ac:dyDescent="0.2">
      <c r="A110" s="4" t="s">
        <v>76</v>
      </c>
      <c r="B110" s="5">
        <v>5000</v>
      </c>
    </row>
    <row r="111" spans="1:14" x14ac:dyDescent="0.2">
      <c r="A111" s="4" t="s">
        <v>93</v>
      </c>
      <c r="B111" s="5">
        <v>-10000</v>
      </c>
    </row>
    <row r="112" spans="1:14" x14ac:dyDescent="0.2">
      <c r="A112" s="4" t="s">
        <v>94</v>
      </c>
      <c r="B112" s="5">
        <v>100000</v>
      </c>
    </row>
    <row r="113" spans="1:14" x14ac:dyDescent="0.2">
      <c r="A113" s="4" t="s">
        <v>95</v>
      </c>
      <c r="B113" s="5">
        <v>0.2</v>
      </c>
    </row>
    <row r="114" spans="1:14" x14ac:dyDescent="0.2">
      <c r="A114" s="4" t="s">
        <v>96</v>
      </c>
      <c r="B114" s="5">
        <v>0.02</v>
      </c>
    </row>
    <row r="115" spans="1:14" x14ac:dyDescent="0.2">
      <c r="A115" s="4" t="s">
        <v>97</v>
      </c>
      <c r="B115" s="5"/>
    </row>
    <row r="116" spans="1:14" x14ac:dyDescent="0.2">
      <c r="A116" s="4" t="s">
        <v>98</v>
      </c>
      <c r="B116" s="5">
        <f>B115*B113</f>
        <v>0</v>
      </c>
    </row>
    <row r="117" spans="1:14" x14ac:dyDescent="0.2">
      <c r="A117" s="4" t="s">
        <v>99</v>
      </c>
      <c r="B117" s="5">
        <f>B111*B115</f>
        <v>0</v>
      </c>
    </row>
    <row r="118" spans="1:14" x14ac:dyDescent="0.2">
      <c r="A118" s="6" t="s">
        <v>100</v>
      </c>
      <c r="B118" s="9"/>
    </row>
    <row r="120" spans="1:14" x14ac:dyDescent="0.2">
      <c r="A120" s="17" t="s">
        <v>101</v>
      </c>
      <c r="B120" s="12"/>
      <c r="C120" s="12"/>
      <c r="D120" s="12"/>
      <c r="E120" s="12"/>
      <c r="F120" s="12"/>
      <c r="G120" s="12"/>
      <c r="H120" s="12"/>
      <c r="I120" s="12"/>
      <c r="J120" s="12"/>
      <c r="K120" s="12"/>
      <c r="L120" s="12"/>
      <c r="M120" s="12"/>
      <c r="N120" s="12"/>
    </row>
    <row r="123" spans="1:14" x14ac:dyDescent="0.2">
      <c r="A123" s="15" t="s">
        <v>102</v>
      </c>
      <c r="B123" s="12"/>
      <c r="C123" s="12"/>
      <c r="D123" s="12"/>
      <c r="E123" s="12"/>
      <c r="F123" s="12"/>
      <c r="G123" s="12"/>
      <c r="H123" s="12"/>
      <c r="I123" s="12"/>
      <c r="J123" s="12"/>
      <c r="K123" s="12"/>
      <c r="L123" s="12"/>
      <c r="M123" s="12"/>
      <c r="N123" s="12"/>
    </row>
    <row r="124" spans="1:14" x14ac:dyDescent="0.2">
      <c r="A124" s="11" t="s">
        <v>103</v>
      </c>
      <c r="B124" s="12"/>
      <c r="C124" s="12"/>
      <c r="D124" s="12"/>
      <c r="E124" s="12"/>
      <c r="F124" s="12"/>
      <c r="G124" s="12"/>
      <c r="H124" s="12"/>
      <c r="I124" s="12"/>
      <c r="J124" s="12"/>
      <c r="K124" s="12"/>
      <c r="L124" s="12"/>
      <c r="M124" s="12"/>
      <c r="N124" s="12"/>
    </row>
    <row r="126" spans="1:14" x14ac:dyDescent="0.2">
      <c r="A126" s="3" t="s">
        <v>104</v>
      </c>
      <c r="B126" s="3" t="s">
        <v>23</v>
      </c>
    </row>
    <row r="127" spans="1:14" x14ac:dyDescent="0.2">
      <c r="A127" s="4" t="s">
        <v>75</v>
      </c>
      <c r="B127" s="5">
        <v>40000</v>
      </c>
    </row>
    <row r="128" spans="1:14" x14ac:dyDescent="0.2">
      <c r="A128" s="4" t="s">
        <v>76</v>
      </c>
      <c r="B128" s="5">
        <v>10000</v>
      </c>
    </row>
    <row r="129" spans="1:14" x14ac:dyDescent="0.2">
      <c r="A129" s="4" t="s">
        <v>105</v>
      </c>
      <c r="B129" s="5">
        <v>-15000</v>
      </c>
    </row>
    <row r="130" spans="1:14" x14ac:dyDescent="0.2">
      <c r="A130" s="4" t="s">
        <v>106</v>
      </c>
      <c r="B130" s="5">
        <v>3000</v>
      </c>
    </row>
    <row r="131" spans="1:14" x14ac:dyDescent="0.2">
      <c r="A131" s="4" t="s">
        <v>107</v>
      </c>
      <c r="B131" s="5">
        <v>5000</v>
      </c>
    </row>
    <row r="132" spans="1:14" x14ac:dyDescent="0.2">
      <c r="A132" s="4" t="s">
        <v>108</v>
      </c>
      <c r="B132" s="5">
        <v>0</v>
      </c>
    </row>
    <row r="133" spans="1:14" x14ac:dyDescent="0.2">
      <c r="A133" s="4" t="s">
        <v>109</v>
      </c>
      <c r="B133" s="5">
        <v>-1000</v>
      </c>
    </row>
    <row r="134" spans="1:14" x14ac:dyDescent="0.2">
      <c r="A134" s="4" t="s">
        <v>110</v>
      </c>
      <c r="B134" s="5">
        <f>0</f>
        <v>0</v>
      </c>
    </row>
    <row r="135" spans="1:14" x14ac:dyDescent="0.2">
      <c r="A135" s="4" t="s">
        <v>111</v>
      </c>
      <c r="B135" s="5">
        <v>7000</v>
      </c>
    </row>
    <row r="136" spans="1:14" x14ac:dyDescent="0.2">
      <c r="A136" s="4" t="s">
        <v>112</v>
      </c>
      <c r="B136" s="5">
        <f>SUM(B127:B135)</f>
        <v>49000</v>
      </c>
    </row>
    <row r="138" spans="1:14" x14ac:dyDescent="0.2">
      <c r="A138" s="17" t="s">
        <v>113</v>
      </c>
      <c r="B138" s="12"/>
      <c r="C138" s="12"/>
      <c r="D138" s="12"/>
      <c r="E138" s="12"/>
      <c r="F138" s="12"/>
      <c r="G138" s="12"/>
      <c r="H138" s="12"/>
      <c r="I138" s="12"/>
      <c r="J138" s="12"/>
      <c r="K138" s="12"/>
      <c r="L138" s="12"/>
      <c r="M138" s="12"/>
      <c r="N138" s="12"/>
    </row>
    <row r="141" spans="1:14" x14ac:dyDescent="0.2">
      <c r="A141" s="15" t="s">
        <v>114</v>
      </c>
      <c r="B141" s="12"/>
      <c r="C141" s="12"/>
      <c r="D141" s="12"/>
      <c r="E141" s="12"/>
      <c r="F141" s="12"/>
      <c r="G141" s="12"/>
      <c r="H141" s="12"/>
      <c r="I141" s="12"/>
      <c r="J141" s="12"/>
      <c r="K141" s="12"/>
      <c r="L141" s="12"/>
      <c r="M141" s="12"/>
      <c r="N141" s="12"/>
    </row>
    <row r="142" spans="1:14" x14ac:dyDescent="0.2">
      <c r="A142" s="16" t="s">
        <v>115</v>
      </c>
      <c r="B142" s="12"/>
      <c r="C142" s="12"/>
      <c r="D142" s="12"/>
      <c r="E142" s="12"/>
      <c r="F142" s="12"/>
      <c r="G142" s="12"/>
      <c r="H142" s="12"/>
      <c r="I142" s="12"/>
      <c r="J142" s="12"/>
      <c r="K142" s="12"/>
      <c r="L142" s="12"/>
      <c r="M142" s="12"/>
      <c r="N142" s="12"/>
    </row>
    <row r="143" spans="1:14" ht="63" customHeight="1" x14ac:dyDescent="0.2">
      <c r="A143" s="20" t="s">
        <v>120</v>
      </c>
      <c r="B143" s="12"/>
      <c r="C143" s="12"/>
      <c r="D143" s="12"/>
      <c r="E143" s="12"/>
      <c r="F143" s="12"/>
      <c r="G143" s="12"/>
      <c r="H143" s="12"/>
      <c r="I143" s="12"/>
      <c r="J143" s="12"/>
      <c r="K143" s="12"/>
      <c r="L143" s="12"/>
      <c r="M143" s="12"/>
      <c r="N143" s="12"/>
    </row>
    <row r="145" spans="1:14" x14ac:dyDescent="0.2">
      <c r="A145" s="16" t="s">
        <v>117</v>
      </c>
      <c r="B145" s="12"/>
      <c r="C145" s="12"/>
      <c r="D145" s="12"/>
      <c r="E145" s="12"/>
      <c r="F145" s="12"/>
      <c r="G145" s="12"/>
      <c r="H145" s="12"/>
      <c r="I145" s="12"/>
      <c r="J145" s="12"/>
      <c r="K145" s="12"/>
      <c r="L145" s="12"/>
      <c r="M145" s="12"/>
      <c r="N145" s="12"/>
    </row>
    <row r="146" spans="1:14" x14ac:dyDescent="0.2">
      <c r="A146" s="13" t="s">
        <v>116</v>
      </c>
      <c r="B146" s="12"/>
      <c r="C146" s="12"/>
      <c r="D146" s="12"/>
      <c r="E146" s="12"/>
      <c r="F146" s="12"/>
      <c r="G146" s="12"/>
      <c r="H146" s="12"/>
      <c r="I146" s="12"/>
      <c r="J146" s="12"/>
      <c r="K146" s="12"/>
      <c r="L146" s="12"/>
      <c r="M146" s="12"/>
      <c r="N146" s="12"/>
    </row>
    <row r="148" spans="1:14" x14ac:dyDescent="0.2">
      <c r="A148" s="16" t="s">
        <v>118</v>
      </c>
      <c r="B148" s="12"/>
      <c r="C148" s="12"/>
      <c r="D148" s="12"/>
      <c r="E148" s="12"/>
      <c r="F148" s="12"/>
      <c r="G148" s="12"/>
      <c r="H148" s="12"/>
      <c r="I148" s="12"/>
      <c r="J148" s="12"/>
      <c r="K148" s="12"/>
      <c r="L148" s="12"/>
      <c r="M148" s="12"/>
      <c r="N148" s="12"/>
    </row>
    <row r="149" spans="1:14" ht="89" customHeight="1" x14ac:dyDescent="0.2">
      <c r="A149" s="20" t="s">
        <v>119</v>
      </c>
      <c r="B149" s="12"/>
      <c r="C149" s="12"/>
      <c r="D149" s="12"/>
      <c r="E149" s="12"/>
      <c r="F149" s="12"/>
      <c r="G149" s="12"/>
      <c r="H149" s="12"/>
      <c r="I149" s="12"/>
      <c r="J149" s="12"/>
      <c r="K149" s="12"/>
      <c r="L149" s="12"/>
      <c r="M149" s="12"/>
      <c r="N149" s="12"/>
    </row>
  </sheetData>
  <mergeCells count="34">
    <mergeCell ref="A149:N149"/>
    <mergeCell ref="A56:N56"/>
    <mergeCell ref="A27:N27"/>
    <mergeCell ref="A120:N120"/>
    <mergeCell ref="A3:N3"/>
    <mergeCell ref="A105:N105"/>
    <mergeCell ref="A12:N12"/>
    <mergeCell ref="A145:N145"/>
    <mergeCell ref="A76:N76"/>
    <mergeCell ref="A42:N42"/>
    <mergeCell ref="A141:N141"/>
    <mergeCell ref="A106:N106"/>
    <mergeCell ref="A4:N4"/>
    <mergeCell ref="A13:N13"/>
    <mergeCell ref="A102:N102"/>
    <mergeCell ref="A1:N1"/>
    <mergeCell ref="A70:N70"/>
    <mergeCell ref="A146:N146"/>
    <mergeCell ref="A124:N124"/>
    <mergeCell ref="A65:N65"/>
    <mergeCell ref="A90:N90"/>
    <mergeCell ref="A46:N46"/>
    <mergeCell ref="A74:N74"/>
    <mergeCell ref="A148:N148"/>
    <mergeCell ref="A73:N73"/>
    <mergeCell ref="A142:N142"/>
    <mergeCell ref="A45:N45"/>
    <mergeCell ref="A123:N123"/>
    <mergeCell ref="A138:N138"/>
    <mergeCell ref="A31:N31"/>
    <mergeCell ref="A143:N143"/>
    <mergeCell ref="A48:N48"/>
    <mergeCell ref="A30:N30"/>
    <mergeCell ref="A64:N6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Compte de Résultats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paul dakpogan</cp:lastModifiedBy>
  <dcterms:created xsi:type="dcterms:W3CDTF">2025-11-08T14:47:15Z</dcterms:created>
  <dcterms:modified xsi:type="dcterms:W3CDTF">2025-11-08T23:43:15Z</dcterms:modified>
</cp:coreProperties>
</file>